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1_Excel_falta_Everest" sheetId="2" state="visible" r:id="rId2"/>
    <sheet name="A2_Everest_falta_Excel" sheetId="3" state="visible" r:id="rId3"/>
    <sheet name="A3_NearMatch_Excel_Everest" sheetId="4" state="visible" r:id="rId4"/>
    <sheet name="B1_Fatura_falta_Excel" sheetId="5" state="visible" r:id="rId5"/>
    <sheet name="B2_NearMatch_Fatura_Excel" sheetId="6" state="visible" r:id="rId6"/>
    <sheet name="C1_Fatura_falta_Everest" sheetId="7" state="visible" r:id="rId7"/>
    <sheet name="C2_NearMatch_Fatura_Everest" sheetId="8" state="visible" r:id="rId8"/>
    <sheet name="Z_Duplicidades_Exc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</font>
    <font>
      <i val="1"/>
      <color rgb="00808080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F5496"/>
      </patternFill>
    </fill>
    <fill>
      <patternFill patternType="solid">
        <fgColor rgb="00F4B08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0" fillId="6" borderId="1" pivotButton="0" quotePrefix="0" xfId="0"/>
    <xf numFmtId="165" fontId="0" fillId="6" borderId="1" pivotButton="0" quotePrefix="0" xfId="0"/>
    <xf numFmtId="4" fontId="0" fillId="6" borderId="1" pivotButton="0" quotePrefix="0" xfId="0"/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165" fontId="0" fillId="4" borderId="1" pivotButton="0" quotePrefix="0" xfId="0"/>
    <xf numFmtId="4" fontId="0" fillId="4" borderId="1" pivotButton="0" quotePrefix="0" xfId="0"/>
    <xf numFmtId="0" fontId="0" fillId="3" borderId="1" pivotButton="0" quotePrefix="0" xfId="0"/>
    <xf numFmtId="165" fontId="0" fillId="3" borderId="1" pivotButton="0" quotePrefix="0" xfId="0"/>
    <xf numFmtId="4" fontId="0" fillId="3" borderId="1" pivotButton="0" quotePrefix="0" xfId="0"/>
    <xf numFmtId="165" fontId="0" fillId="7" borderId="1" pivotButton="0" quotePrefix="0" xfId="0"/>
    <xf numFmtId="0" fontId="0" fillId="7" borderId="1" pivotButton="0" quotePrefix="0" xfId="0"/>
    <xf numFmtId="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8" customWidth="1" min="3" max="3"/>
  </cols>
  <sheetData>
    <row r="1">
      <c r="A1" s="1" t="inlineStr">
        <is>
          <t>Conciliacao mensal Pe de Manga - 07/2026</t>
        </is>
      </c>
    </row>
    <row r="2">
      <c r="A2" s="2" t="inlineStr">
        <is>
          <t>Hierarquia: Excel (primario) x Everest (secundario) + Fatura (complemento)</t>
        </is>
      </c>
    </row>
    <row r="4">
      <c r="A4" s="3">
        <f>= BASES ==</f>
        <v/>
      </c>
      <c r="C4" s="3" t="inlineStr"/>
    </row>
    <row r="5">
      <c r="A5" s="3" t="inlineStr">
        <is>
          <t>Excel controle - qtde</t>
        </is>
      </c>
      <c r="C5" s="3" t="n">
        <v>363</v>
      </c>
    </row>
    <row r="6">
      <c r="A6" t="inlineStr">
        <is>
          <t>Excel controle - valor R$</t>
        </is>
      </c>
      <c r="C6" s="4" t="n">
        <v>455339.07</v>
      </c>
    </row>
    <row r="7">
      <c r="A7" s="3" t="inlineStr">
        <is>
          <t>Everest - qtde</t>
        </is>
      </c>
      <c r="C7" s="3" t="n">
        <v>352</v>
      </c>
    </row>
    <row r="8">
      <c r="A8" t="inlineStr">
        <is>
          <t>Everest - valor R$</t>
        </is>
      </c>
      <c r="C8" s="4" t="n">
        <v>437369.7</v>
      </c>
    </row>
    <row r="9">
      <c r="A9" t="inlineStr">
        <is>
          <t>Fatura compras (+) - qtde</t>
        </is>
      </c>
      <c r="C9" t="n">
        <v>141</v>
      </c>
    </row>
    <row r="10">
      <c r="A10" t="inlineStr">
        <is>
          <t>Fatura compras (+) - valor R$</t>
        </is>
      </c>
      <c r="C10" s="4" t="n">
        <v>64845.99</v>
      </c>
    </row>
    <row r="12">
      <c r="A12" s="3">
        <f>= RECON A: Excel (primario) x Everest (secundario) ==</f>
        <v/>
      </c>
      <c r="C12" s="3" t="inlineStr"/>
    </row>
    <row r="13">
      <c r="A13" s="5" t="inlineStr">
        <is>
          <t>Casam valor exato</t>
        </is>
      </c>
      <c r="B13" s="6" t="n"/>
      <c r="C13" s="5" t="n">
        <v>319</v>
      </c>
    </row>
    <row r="14">
      <c r="A14" s="7" t="inlineStr">
        <is>
          <t>Casam near (mesmo fornecedor, valor prox)</t>
        </is>
      </c>
      <c r="B14" s="8" t="n"/>
      <c r="C14" s="7" t="n">
        <v>3</v>
      </c>
    </row>
    <row r="15">
      <c r="A15" s="9" t="inlineStr">
        <is>
          <t>Excel SEM Everest (falta lancar no Everest)</t>
        </is>
      </c>
      <c r="B15" s="10" t="n"/>
      <c r="C15" s="9" t="n">
        <v>41</v>
      </c>
    </row>
    <row r="16">
      <c r="A16" s="10" t="inlineStr">
        <is>
          <t xml:space="preserve">   Excel SEM Everest - valor R$</t>
        </is>
      </c>
      <c r="B16" s="10" t="n"/>
      <c r="C16" s="11" t="n">
        <v>40965.59</v>
      </c>
    </row>
    <row r="17">
      <c r="A17" s="9" t="inlineStr">
        <is>
          <t>Everest SEM Excel (falta lancar no Excel)</t>
        </is>
      </c>
      <c r="B17" s="10" t="n"/>
      <c r="C17" s="9" t="n">
        <v>30</v>
      </c>
    </row>
    <row r="18">
      <c r="A18" s="10" t="inlineStr">
        <is>
          <t xml:space="preserve">   Everest SEM Excel - valor R$</t>
        </is>
      </c>
      <c r="B18" s="10" t="n"/>
      <c r="C18" s="11" t="n">
        <v>22919.71</v>
      </c>
    </row>
    <row r="20">
      <c r="A20" s="3">
        <f>= RECON B: Fatura x Excel (primario) ==</f>
        <v/>
      </c>
      <c r="C20" s="3" t="inlineStr"/>
    </row>
    <row r="21">
      <c r="A21" s="5" t="inlineStr">
        <is>
          <t>Casam valor exato</t>
        </is>
      </c>
      <c r="B21" s="6" t="n"/>
      <c r="C21" s="5" t="n">
        <v>58</v>
      </c>
    </row>
    <row r="22">
      <c r="A22" s="7" t="inlineStr">
        <is>
          <t>Casam near</t>
        </is>
      </c>
      <c r="B22" s="8" t="n"/>
      <c r="C22" s="7" t="n">
        <v>3</v>
      </c>
    </row>
    <row r="23">
      <c r="A23" s="9" t="inlineStr">
        <is>
          <t>Fatura SEM Excel (falta lancar no Excel)</t>
        </is>
      </c>
      <c r="B23" s="10" t="n"/>
      <c r="C23" s="9" t="n">
        <v>80</v>
      </c>
    </row>
    <row r="24">
      <c r="A24" s="10" t="inlineStr">
        <is>
          <t xml:space="preserve">   valor R$</t>
        </is>
      </c>
      <c r="B24" s="10" t="n"/>
      <c r="C24" s="11" t="n">
        <v>24879.97</v>
      </c>
    </row>
    <row r="26">
      <c r="A26" s="3">
        <f>= RECON C: Fatura x Everest (secundario) ==</f>
        <v/>
      </c>
      <c r="C26" s="3" t="inlineStr"/>
    </row>
    <row r="27">
      <c r="A27" s="5" t="inlineStr">
        <is>
          <t>Casam valor exato</t>
        </is>
      </c>
      <c r="B27" s="6" t="n"/>
      <c r="C27" s="5" t="n">
        <v>45</v>
      </c>
    </row>
    <row r="28">
      <c r="A28" s="7" t="inlineStr">
        <is>
          <t>Casam near</t>
        </is>
      </c>
      <c r="B28" s="8" t="n"/>
      <c r="C28" s="7" t="n">
        <v>4</v>
      </c>
    </row>
    <row r="29">
      <c r="A29" s="9" t="inlineStr">
        <is>
          <t>Fatura SEM Everest (falta lancar no Everest)</t>
        </is>
      </c>
      <c r="B29" s="10" t="n"/>
      <c r="C29" s="9" t="n">
        <v>92</v>
      </c>
    </row>
    <row r="30">
      <c r="A30" s="10" t="inlineStr">
        <is>
          <t xml:space="preserve">   valor R$</t>
        </is>
      </c>
      <c r="B30" s="10" t="n"/>
      <c r="C30" s="11" t="n">
        <v>27533.49</v>
      </c>
    </row>
    <row r="32">
      <c r="A32" s="9" t="inlineStr">
        <is>
          <t>Duplicidades no Excel</t>
        </is>
      </c>
      <c r="B32" s="10" t="n"/>
      <c r="C32" s="9" t="n">
        <v>10</v>
      </c>
    </row>
    <row r="35">
      <c r="A35" s="3" t="inlineStr">
        <is>
          <t>OBSERVACOES:</t>
        </is>
      </c>
    </row>
    <row r="36">
      <c r="A36" s="12" t="inlineStr">
        <is>
          <t>- Excel eh o CONTROLE PRIMARIO (source of truth). Todo lancamento operacional deve estar aqui.</t>
        </is>
      </c>
    </row>
    <row r="37">
      <c r="A37" s="12" t="inlineStr">
        <is>
          <t>- Everest eh o CONTROLE SECUNDARIO (deveria bater com o Excel).</t>
        </is>
      </c>
    </row>
    <row r="38">
      <c r="A38" s="12" t="inlineStr">
        <is>
          <t>- Fatura Itau eh COMPLEMENTO: tudo que aparece nela ja deveria estar em Excel e Everest.</t>
        </is>
      </c>
    </row>
    <row r="39">
      <c r="A39" s="12" t="inlineStr">
        <is>
          <t>- "Near-match" (fundo amarelo) = mesmo fornecedor com valor levemente diferente. Confirmar manualmente.</t>
        </is>
      </c>
    </row>
    <row r="40">
      <c r="A40" s="12" t="inlineStr">
        <is>
          <t>- Aliases usados: 85 equivalencias conhecidas (data/supplier_aliases.json - editar para melhorar futuras conciliacoes).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8" customWidth="1" min="4" max="4"/>
    <col width="42" customWidth="1" min="5" max="5"/>
  </cols>
  <sheetData>
    <row r="1">
      <c r="A1" s="13" t="inlineStr">
        <is>
          <t>Fornecedor (Excel)</t>
        </is>
      </c>
      <c r="B1" s="13" t="inlineStr">
        <is>
          <t>Data</t>
        </is>
      </c>
      <c r="C1" s="13" t="inlineStr">
        <is>
          <t>Valor R$</t>
        </is>
      </c>
      <c r="D1" s="13" t="inlineStr">
        <is>
          <t>Setor</t>
        </is>
      </c>
      <c r="E1" s="13" t="inlineStr">
        <is>
          <t>Classificacao</t>
        </is>
      </c>
    </row>
    <row r="2">
      <c r="A2" s="14" t="inlineStr">
        <is>
          <t>HORTIFRUTI POMAR DA VILA E MERCEARIA LTDA</t>
        </is>
      </c>
      <c r="B2" s="15" t="n">
        <v>46224</v>
      </c>
      <c r="C2" s="16" t="n">
        <v>34.08</v>
      </c>
      <c r="D2" s="14" t="inlineStr">
        <is>
          <t>BAR</t>
        </is>
      </c>
      <c r="E2" s="14" t="inlineStr">
        <is>
          <t>Deveria ter NF-e no Everest</t>
        </is>
      </c>
    </row>
    <row r="3">
      <c r="A3" s="14" t="inlineStr">
        <is>
          <t>HORTIFRUTI POMAR DA VILA E MERCEARIA LTDA</t>
        </is>
      </c>
      <c r="B3" s="15" t="n">
        <v>46205</v>
      </c>
      <c r="C3" s="16" t="n">
        <v>24.36</v>
      </c>
      <c r="D3" s="14" t="inlineStr">
        <is>
          <t>BAR</t>
        </is>
      </c>
      <c r="E3" s="14" t="inlineStr">
        <is>
          <t>Deveria ter NF-e no Everest</t>
        </is>
      </c>
    </row>
    <row r="4">
      <c r="A4" s="14" t="inlineStr">
        <is>
          <t>SHEILA MARIA NUNES</t>
        </is>
      </c>
      <c r="B4" s="15" t="n">
        <v>46224</v>
      </c>
      <c r="C4" s="16" t="n">
        <v>71.73999999999999</v>
      </c>
      <c r="D4" s="14" t="inlineStr">
        <is>
          <t>BAR</t>
        </is>
      </c>
      <c r="E4" s="14" t="inlineStr">
        <is>
          <t>Deveria ter NF-e no Everest</t>
        </is>
      </c>
    </row>
    <row r="5">
      <c r="A5" s="14" t="inlineStr">
        <is>
          <t>BANCA DO RAMOM</t>
        </is>
      </c>
      <c r="B5" s="15" t="n">
        <v>46206</v>
      </c>
      <c r="C5" s="16" t="n">
        <v>79.90000000000001</v>
      </c>
      <c r="D5" s="14" t="inlineStr">
        <is>
          <t>BAR</t>
        </is>
      </c>
      <c r="E5" s="14" t="inlineStr">
        <is>
          <t>Deveria ter NF-e no Everest</t>
        </is>
      </c>
    </row>
    <row r="6">
      <c r="A6" s="14" t="inlineStr">
        <is>
          <t>HORTIFRUTI POMAR DA VILA E MERCEARIA LTDA</t>
        </is>
      </c>
      <c r="B6" s="15" t="n">
        <v>46227</v>
      </c>
      <c r="C6" s="16" t="n">
        <v>50.36</v>
      </c>
      <c r="D6" s="14" t="inlineStr">
        <is>
          <t>COZINHA</t>
        </is>
      </c>
      <c r="E6" s="14" t="inlineStr">
        <is>
          <t>Deveria ter NF-e no Everest</t>
        </is>
      </c>
    </row>
    <row r="7">
      <c r="A7" s="14" t="inlineStr">
        <is>
          <t>HORTIFRUTI POMAR DA VILA E MERCEARIA LTDA</t>
        </is>
      </c>
      <c r="B7" s="15" t="n">
        <v>46228</v>
      </c>
      <c r="C7" s="16" t="n">
        <v>32.4</v>
      </c>
      <c r="D7" s="14" t="inlineStr">
        <is>
          <t>COZINHA</t>
        </is>
      </c>
      <c r="E7" s="14" t="inlineStr">
        <is>
          <t>Deveria ter NF-e no Everest</t>
        </is>
      </c>
    </row>
    <row r="8">
      <c r="A8" s="14" t="inlineStr">
        <is>
          <t>KHADUN B. LIMA</t>
        </is>
      </c>
      <c r="B8" s="15" t="n">
        <v>46218</v>
      </c>
      <c r="C8" s="16" t="n">
        <v>3860.56</v>
      </c>
      <c r="D8" s="14" t="inlineStr">
        <is>
          <t>COZINHA</t>
        </is>
      </c>
      <c r="E8" s="14" t="inlineStr">
        <is>
          <t>Deveria ter NF-e no Everest</t>
        </is>
      </c>
    </row>
    <row r="9">
      <c r="A9" s="14" t="inlineStr">
        <is>
          <t>MARIO PEDRO FELICIANO HORTIFRUTI EPP</t>
        </is>
      </c>
      <c r="B9" s="15" t="n">
        <v>46223</v>
      </c>
      <c r="C9" s="16" t="n">
        <v>212.56</v>
      </c>
      <c r="D9" s="14" t="inlineStr">
        <is>
          <t>COZINHA</t>
        </is>
      </c>
      <c r="E9" s="14" t="inlineStr">
        <is>
          <t>Deveria ter NF-e no Everest</t>
        </is>
      </c>
    </row>
    <row r="10">
      <c r="A10" s="14" t="inlineStr">
        <is>
          <t>NOMADE BAR E RESTAURANTE LTDA</t>
        </is>
      </c>
      <c r="B10" s="15" t="n">
        <v>46218</v>
      </c>
      <c r="C10" s="16" t="n">
        <v>409.62</v>
      </c>
      <c r="D10" s="14" t="inlineStr">
        <is>
          <t>COZINHA</t>
        </is>
      </c>
      <c r="E10" s="14" t="inlineStr">
        <is>
          <t>Deveria ter NF-e no Everest</t>
        </is>
      </c>
    </row>
    <row r="11">
      <c r="A11" s="14" t="inlineStr">
        <is>
          <t>NOMADE BAR E RESTAURANTE LTDA</t>
        </is>
      </c>
      <c r="B11" s="15" t="n">
        <v>46224</v>
      </c>
      <c r="C11" s="16" t="n">
        <v>581.86</v>
      </c>
      <c r="D11" s="14" t="inlineStr">
        <is>
          <t>COZINHA</t>
        </is>
      </c>
      <c r="E11" s="14" t="inlineStr">
        <is>
          <t>Deveria ter NF-e no Everest</t>
        </is>
      </c>
    </row>
    <row r="12">
      <c r="A12" s="14" t="inlineStr">
        <is>
          <t>QUALIVE IMP E COMERCIO DE ALIMENTOS LTDA</t>
        </is>
      </c>
      <c r="B12" s="15" t="n">
        <v>46214</v>
      </c>
      <c r="C12" s="16" t="n">
        <v>297.15</v>
      </c>
      <c r="D12" s="14" t="inlineStr">
        <is>
          <t>COZINHA</t>
        </is>
      </c>
      <c r="E12" s="14" t="inlineStr">
        <is>
          <t>Deveria ter NF-e no Everest</t>
        </is>
      </c>
    </row>
    <row r="13">
      <c r="A13" s="14" t="inlineStr">
        <is>
          <t>REAL COMERCIAL LTDA</t>
        </is>
      </c>
      <c r="B13" s="15" t="n">
        <v>46230</v>
      </c>
      <c r="C13" s="16" t="n">
        <v>1114.49</v>
      </c>
      <c r="D13" s="14" t="inlineStr">
        <is>
          <t>COZINHA</t>
        </is>
      </c>
      <c r="E13" s="14" t="inlineStr">
        <is>
          <t>Deveria ter NF-e no Everest</t>
        </is>
      </c>
    </row>
    <row r="14">
      <c r="A14" s="14" t="inlineStr">
        <is>
          <t>ST ETIENNE CITY PADARIA E CONFEITARIA LTDA  - FIXO</t>
        </is>
      </c>
      <c r="B14" s="15" t="n">
        <v>46233</v>
      </c>
      <c r="C14" s="16" t="n">
        <v>4841.2</v>
      </c>
      <c r="D14" s="14" t="inlineStr">
        <is>
          <t>COZINHA</t>
        </is>
      </c>
      <c r="E14" s="14" t="inlineStr">
        <is>
          <t>Deveria ter NF-e no Everest</t>
        </is>
      </c>
    </row>
    <row r="15">
      <c r="A15" s="14" t="inlineStr">
        <is>
          <t>FESTA E CIA</t>
        </is>
      </c>
      <c r="B15" s="15" t="n">
        <v>46207</v>
      </c>
      <c r="C15" s="16" t="n">
        <v>166</v>
      </c>
      <c r="D15" s="14" t="inlineStr">
        <is>
          <t>DESCATAVEIS</t>
        </is>
      </c>
      <c r="E15" s="14" t="inlineStr">
        <is>
          <t>Deveria ter NF-e no Everest</t>
        </is>
      </c>
    </row>
    <row r="16">
      <c r="A16" s="14" t="inlineStr">
        <is>
          <t>FRAN ADESIVOS</t>
        </is>
      </c>
      <c r="B16" s="15" t="n">
        <v>46224</v>
      </c>
      <c r="C16" s="16" t="n">
        <v>506</v>
      </c>
      <c r="D16" s="14" t="inlineStr">
        <is>
          <t>DESCATAVEIS</t>
        </is>
      </c>
      <c r="E16" s="14" t="inlineStr">
        <is>
          <t>Deveria ter NF-e no Everest</t>
        </is>
      </c>
    </row>
    <row r="17">
      <c r="A17" s="14" t="inlineStr">
        <is>
          <t>TL DISTRIBUIDORA</t>
        </is>
      </c>
      <c r="B17" s="15" t="n">
        <v>46219</v>
      </c>
      <c r="C17" s="16" t="n">
        <v>21</v>
      </c>
      <c r="D17" s="14" t="inlineStr">
        <is>
          <t>ESCRITÓRIO</t>
        </is>
      </c>
      <c r="E17" s="14" t="inlineStr">
        <is>
          <t>Deveria ter NF-e no Everest</t>
        </is>
      </c>
    </row>
    <row r="18">
      <c r="A18" s="17" t="inlineStr">
        <is>
          <t>COMERCIO E INDUSTRIA DE VELAS AIB EIRELI ME</t>
        </is>
      </c>
      <c r="B18" s="18" t="n">
        <v>46210</v>
      </c>
      <c r="C18" s="19" t="n">
        <v>392.38</v>
      </c>
      <c r="D18" s="17" t="inlineStr">
        <is>
          <t>EVENTUAL</t>
        </is>
      </c>
      <c r="E18" s="17" t="inlineStr">
        <is>
          <t>Servico/assinatura (sem DANFE)</t>
        </is>
      </c>
    </row>
    <row r="19">
      <c r="A19" s="17" t="inlineStr">
        <is>
          <t>JESUS DECOR DISTRIBUIDORA LTDA</t>
        </is>
      </c>
      <c r="B19" s="18" t="n">
        <v>46216</v>
      </c>
      <c r="C19" s="19" t="n">
        <v>373.36</v>
      </c>
      <c r="D19" s="17" t="inlineStr">
        <is>
          <t>EVENTUAL</t>
        </is>
      </c>
      <c r="E19" s="17" t="inlineStr">
        <is>
          <t>Servico/assinatura (sem DANFE)</t>
        </is>
      </c>
    </row>
    <row r="20">
      <c r="A20" s="17" t="inlineStr">
        <is>
          <t>UBER</t>
        </is>
      </c>
      <c r="B20" s="18" t="n">
        <v>46204</v>
      </c>
      <c r="C20" s="19" t="n">
        <v>20</v>
      </c>
      <c r="D20" s="17" t="inlineStr">
        <is>
          <t>EVENTUAL</t>
        </is>
      </c>
      <c r="E20" s="17" t="inlineStr">
        <is>
          <t>Servico/assinatura (sem DANFE)</t>
        </is>
      </c>
    </row>
    <row r="21">
      <c r="A21" s="17" t="inlineStr">
        <is>
          <t>LALAMOVE</t>
        </is>
      </c>
      <c r="B21" s="18" t="n">
        <v>46234</v>
      </c>
      <c r="C21" s="19" t="n">
        <v>125</v>
      </c>
      <c r="D21" s="17" t="inlineStr">
        <is>
          <t>EVENTUAL</t>
        </is>
      </c>
      <c r="E21" s="17" t="inlineStr">
        <is>
          <t>Servico/assinatura (sem DANFE)</t>
        </is>
      </c>
    </row>
    <row r="22">
      <c r="A22" s="17" t="inlineStr">
        <is>
          <t>PC GAMER INFORMATICA</t>
        </is>
      </c>
      <c r="B22" s="18" t="n">
        <v>46209</v>
      </c>
      <c r="C22" s="19" t="n">
        <v>181.14</v>
      </c>
      <c r="D22" s="17" t="inlineStr">
        <is>
          <t>EVENTUAL</t>
        </is>
      </c>
      <c r="E22" s="17" t="inlineStr">
        <is>
          <t>Servico/assinatura (sem DANFE)</t>
        </is>
      </c>
    </row>
    <row r="23">
      <c r="A23" s="17" t="inlineStr">
        <is>
          <t>AUTO POSTO MORUMBI</t>
        </is>
      </c>
      <c r="B23" s="18" t="n">
        <v>46218</v>
      </c>
      <c r="C23" s="19" t="n">
        <v>244.1</v>
      </c>
      <c r="D23" s="17" t="inlineStr">
        <is>
          <t>EVENTUAL</t>
        </is>
      </c>
      <c r="E23" s="17" t="inlineStr">
        <is>
          <t>Servico/assinatura (sem DANFE)</t>
        </is>
      </c>
    </row>
    <row r="24">
      <c r="A24" s="17" t="inlineStr">
        <is>
          <t>PERMUTE - PRESTADORA DE SERVIÇOS</t>
        </is>
      </c>
      <c r="B24" s="18" t="n">
        <v>46233</v>
      </c>
      <c r="C24" s="19" t="n">
        <v>95.34999999999999</v>
      </c>
      <c r="D24" s="17" t="inlineStr">
        <is>
          <t>EVENTUAL</t>
        </is>
      </c>
      <c r="E24" s="17" t="inlineStr">
        <is>
          <t>Servico/assinatura (sem DANFE)</t>
        </is>
      </c>
    </row>
    <row r="25">
      <c r="A25" s="17" t="inlineStr">
        <is>
          <t>TRADAQ LTDA</t>
        </is>
      </c>
      <c r="B25" s="18" t="n">
        <v>46233</v>
      </c>
      <c r="C25" s="19" t="n">
        <v>120.09</v>
      </c>
      <c r="D25" s="17" t="inlineStr">
        <is>
          <t>EVENTUAL</t>
        </is>
      </c>
      <c r="E25" s="17" t="inlineStr">
        <is>
          <t>Servico/assinatura (sem DANFE)</t>
        </is>
      </c>
    </row>
    <row r="26">
      <c r="A26" s="17" t="inlineStr">
        <is>
          <t>LILI MEDICINA E SEGURANÇA DE TRABALHO LTDA</t>
        </is>
      </c>
      <c r="B26" s="18" t="n">
        <v>46233</v>
      </c>
      <c r="C26" s="19" t="n">
        <v>60</v>
      </c>
      <c r="D26" s="17" t="inlineStr">
        <is>
          <t>EVENTUAL</t>
        </is>
      </c>
      <c r="E26" s="17" t="inlineStr">
        <is>
          <t>Servico/assinatura (sem DANFE)</t>
        </is>
      </c>
    </row>
    <row r="27">
      <c r="A27" s="17" t="inlineStr">
        <is>
          <t>DEPOSITO LA TERZA</t>
        </is>
      </c>
      <c r="B27" s="18" t="n">
        <v>46225</v>
      </c>
      <c r="C27" s="19" t="n">
        <v>107.06</v>
      </c>
      <c r="D27" s="17" t="inlineStr">
        <is>
          <t>MANUTENÇÃO</t>
        </is>
      </c>
      <c r="E27" s="17" t="inlineStr">
        <is>
          <t>Servico/assinatura (sem DANFE)</t>
        </is>
      </c>
    </row>
    <row r="28">
      <c r="A28" s="17" t="inlineStr">
        <is>
          <t>ALIEXPRESS</t>
        </is>
      </c>
      <c r="B28" s="18" t="n">
        <v>46204</v>
      </c>
      <c r="C28" s="19" t="n">
        <v>151.69</v>
      </c>
      <c r="D28" s="17" t="inlineStr">
        <is>
          <t>MANUTENÇÃO</t>
        </is>
      </c>
      <c r="E28" s="17" t="inlineStr">
        <is>
          <t>Servico/assinatura (sem DANFE)</t>
        </is>
      </c>
    </row>
    <row r="29">
      <c r="A29" s="17" t="inlineStr">
        <is>
          <t>OPENAI *CHATGPT SUBSCR</t>
        </is>
      </c>
      <c r="B29" s="18" t="n">
        <v>46232</v>
      </c>
      <c r="C29" s="19" t="n">
        <v>108.6</v>
      </c>
      <c r="D29" s="17" t="inlineStr">
        <is>
          <t>MARKETING</t>
        </is>
      </c>
      <c r="E29" s="17" t="inlineStr">
        <is>
          <t>Servico/assinatura (sem DANFE)</t>
        </is>
      </c>
    </row>
    <row r="30">
      <c r="A30" s="17" t="inlineStr">
        <is>
          <t>TRIPADVISOR</t>
        </is>
      </c>
      <c r="B30" s="18" t="n">
        <v>46207</v>
      </c>
      <c r="C30" s="19" t="n">
        <v>379.47</v>
      </c>
      <c r="D30" s="17" t="inlineStr">
        <is>
          <t>MARKETING</t>
        </is>
      </c>
      <c r="E30" s="17" t="inlineStr">
        <is>
          <t>Servico/assinatura (sem DANFE)</t>
        </is>
      </c>
    </row>
    <row r="31">
      <c r="A31" s="17" t="inlineStr">
        <is>
          <t>META</t>
        </is>
      </c>
      <c r="B31" s="18" t="n">
        <v>46234</v>
      </c>
      <c r="C31" s="19" t="n">
        <v>3800</v>
      </c>
      <c r="D31" s="17" t="inlineStr">
        <is>
          <t>MARKETING</t>
        </is>
      </c>
      <c r="E31" s="17" t="inlineStr">
        <is>
          <t>Servico/assinatura (sem DANFE)</t>
        </is>
      </c>
    </row>
    <row r="32">
      <c r="A32" s="17" t="inlineStr">
        <is>
          <t>RYZE AL</t>
        </is>
      </c>
      <c r="B32" s="18" t="n">
        <v>46204</v>
      </c>
      <c r="C32" s="19" t="n">
        <v>312.1</v>
      </c>
      <c r="D32" s="17" t="inlineStr">
        <is>
          <t>MARKETING</t>
        </is>
      </c>
      <c r="E32" s="17" t="inlineStr">
        <is>
          <t>Servico/assinatura (sem DANFE)</t>
        </is>
      </c>
    </row>
    <row r="33">
      <c r="A33" s="17" t="inlineStr">
        <is>
          <t>GOOGLE</t>
        </is>
      </c>
      <c r="B33" s="18" t="n">
        <v>46234</v>
      </c>
      <c r="C33" s="19" t="n">
        <v>11097.04</v>
      </c>
      <c r="D33" s="17" t="inlineStr">
        <is>
          <t>MARKETING</t>
        </is>
      </c>
      <c r="E33" s="17" t="inlineStr">
        <is>
          <t>Servico/assinatura (sem DANFE)</t>
        </is>
      </c>
    </row>
    <row r="34">
      <c r="A34" s="17" t="inlineStr">
        <is>
          <t>HIGGSFILED INC.</t>
        </is>
      </c>
      <c r="B34" s="18" t="n">
        <v>46229</v>
      </c>
      <c r="C34" s="19" t="n">
        <v>274.51</v>
      </c>
      <c r="D34" s="17" t="inlineStr">
        <is>
          <t>MARKETING</t>
        </is>
      </c>
      <c r="E34" s="17" t="inlineStr">
        <is>
          <t>Servico/assinatura (sem DANFE)</t>
        </is>
      </c>
    </row>
    <row r="35">
      <c r="A35" s="17" t="inlineStr">
        <is>
          <t>ANTHROPIC, PBC</t>
        </is>
      </c>
      <c r="B35" s="18" t="n">
        <v>46222</v>
      </c>
      <c r="C35" s="19" t="n">
        <v>585.98</v>
      </c>
      <c r="D35" s="17" t="inlineStr">
        <is>
          <t>MARKETING</t>
        </is>
      </c>
      <c r="E35" s="17" t="inlineStr">
        <is>
          <t>Servico/assinatura (sem DANFE)</t>
        </is>
      </c>
    </row>
    <row r="36">
      <c r="A36" s="14" t="inlineStr">
        <is>
          <t>SCHIPPER CONS</t>
        </is>
      </c>
      <c r="B36" s="15" t="n">
        <v>46234</v>
      </c>
      <c r="C36" s="16" t="n">
        <v>2763.43</v>
      </c>
      <c r="D36" s="14" t="inlineStr">
        <is>
          <t>UTENSILIOS</t>
        </is>
      </c>
      <c r="E36" s="14" t="inlineStr">
        <is>
          <t>Deveria ter NF-e no Everest</t>
        </is>
      </c>
    </row>
    <row r="37">
      <c r="A37" s="14" t="inlineStr">
        <is>
          <t>CHAME ATAC.</t>
        </is>
      </c>
      <c r="B37" s="15" t="n">
        <v>46219</v>
      </c>
      <c r="C37" s="16" t="n">
        <v>71.01000000000001</v>
      </c>
      <c r="D37" s="14" t="inlineStr">
        <is>
          <t>UTENSILIOS</t>
        </is>
      </c>
      <c r="E37" s="14" t="inlineStr">
        <is>
          <t>Deveria ter NF-e no Everest</t>
        </is>
      </c>
    </row>
    <row r="38">
      <c r="A38" s="17" t="inlineStr">
        <is>
          <t>CAMILA VIEIRA - MY TEAM</t>
        </is>
      </c>
      <c r="B38" s="18" t="n">
        <v>46203</v>
      </c>
      <c r="C38" s="19" t="n">
        <v>400</v>
      </c>
      <c r="D38" s="17" t="inlineStr">
        <is>
          <t>MARKETING</t>
        </is>
      </c>
      <c r="E38" s="17" t="inlineStr">
        <is>
          <t>Servico/assinatura (sem DANFE)</t>
        </is>
      </c>
    </row>
    <row r="39">
      <c r="A39" s="17" t="inlineStr">
        <is>
          <t>MMACR PRODUCOES LTDA -  MARCELA MALUF -EFFE HUB</t>
        </is>
      </c>
      <c r="B39" s="18" t="n">
        <v>46203</v>
      </c>
      <c r="C39" s="19" t="n">
        <v>1000</v>
      </c>
      <c r="D39" s="17" t="inlineStr">
        <is>
          <t>MARKETING</t>
        </is>
      </c>
      <c r="E39" s="17" t="inlineStr">
        <is>
          <t>Servico/assinatura (sem DANFE)</t>
        </is>
      </c>
    </row>
    <row r="40">
      <c r="A40" s="17" t="inlineStr">
        <is>
          <t>FABIO ROSOCHASNKY - DELLAS CONECTING</t>
        </is>
      </c>
      <c r="B40" s="18" t="n">
        <v>46203</v>
      </c>
      <c r="C40" s="19" t="n">
        <v>1500</v>
      </c>
      <c r="D40" s="17" t="inlineStr">
        <is>
          <t>MARKETING</t>
        </is>
      </c>
      <c r="E40" s="17" t="inlineStr">
        <is>
          <t>Servico/assinatura (sem DANFE)</t>
        </is>
      </c>
    </row>
    <row r="41">
      <c r="A41" s="17" t="inlineStr">
        <is>
          <t>INSTAGRAM</t>
        </is>
      </c>
      <c r="B41" s="18" t="n">
        <v>46203</v>
      </c>
      <c r="C41" s="19" t="n">
        <v>1500</v>
      </c>
      <c r="D41" s="17" t="inlineStr">
        <is>
          <t>MARKETING</t>
        </is>
      </c>
      <c r="E41" s="17" t="inlineStr">
        <is>
          <t>Servico/assinatura (sem DANFE)</t>
        </is>
      </c>
    </row>
    <row r="42">
      <c r="A42" s="17" t="inlineStr">
        <is>
          <t>AGENCIA LINKADAS</t>
        </is>
      </c>
      <c r="B42" s="18" t="n">
        <v>46203</v>
      </c>
      <c r="C42" s="19" t="n">
        <v>3000</v>
      </c>
      <c r="D42" s="17" t="inlineStr">
        <is>
          <t>MARKETING</t>
        </is>
      </c>
      <c r="E42" s="17" t="inlineStr">
        <is>
          <t>Servico/assinatura (sem DANFE)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20" customWidth="1" min="5" max="5"/>
    <col width="12" customWidth="1" min="6" max="6"/>
  </cols>
  <sheetData>
    <row r="1">
      <c r="A1" s="13" t="inlineStr">
        <is>
          <t>Fornecedor (Everest)</t>
        </is>
      </c>
      <c r="B1" s="13" t="inlineStr">
        <is>
          <t>Emissao/Doc</t>
        </is>
      </c>
      <c r="C1" s="13" t="inlineStr">
        <is>
          <t>Lancamento</t>
        </is>
      </c>
      <c r="D1" s="13" t="inlineStr">
        <is>
          <t>Valor R$</t>
        </is>
      </c>
      <c r="E1" s="13" t="inlineStr">
        <is>
          <t>Portador</t>
        </is>
      </c>
      <c r="F1" s="13" t="inlineStr">
        <is>
          <t>Origem</t>
        </is>
      </c>
    </row>
    <row r="2">
      <c r="A2" s="20" t="inlineStr">
        <is>
          <t>CDL SAO PAULO</t>
        </is>
      </c>
      <c r="B2" s="21" t="n">
        <v>46203.93840277778</v>
      </c>
      <c r="C2" s="21" t="n">
        <v>46204</v>
      </c>
      <c r="D2" s="22" t="n">
        <v>1630.58</v>
      </c>
      <c r="E2" s="20" t="n"/>
      <c r="F2" s="20" t="n"/>
    </row>
    <row r="3">
      <c r="A3" s="17" t="inlineStr">
        <is>
          <t>CDL SAO PAULO</t>
        </is>
      </c>
      <c r="B3" s="18" t="n">
        <v>46203.93840277778</v>
      </c>
      <c r="C3" s="18" t="n">
        <v>46204</v>
      </c>
      <c r="D3" s="19" t="n">
        <v>72.23</v>
      </c>
      <c r="E3" s="17" t="n"/>
      <c r="F3" s="17" t="n"/>
    </row>
    <row r="4">
      <c r="A4" s="17" t="inlineStr">
        <is>
          <t>CDL SAO PAULO</t>
        </is>
      </c>
      <c r="B4" s="18" t="n">
        <v>46209.88335648148</v>
      </c>
      <c r="C4" s="18" t="n">
        <v>46211</v>
      </c>
      <c r="D4" s="19" t="n">
        <v>39</v>
      </c>
      <c r="E4" s="17" t="n"/>
      <c r="F4" s="17" t="n"/>
    </row>
    <row r="5">
      <c r="A5" s="17" t="inlineStr">
        <is>
          <t>CDL SAO PAULO</t>
        </is>
      </c>
      <c r="B5" s="18" t="n">
        <v>46209.88335648148</v>
      </c>
      <c r="C5" s="18" t="n">
        <v>46211</v>
      </c>
      <c r="D5" s="19" t="n">
        <v>68.98999999999999</v>
      </c>
      <c r="E5" s="17" t="n"/>
      <c r="F5" s="17" t="n"/>
    </row>
    <row r="6">
      <c r="A6" s="17" t="inlineStr">
        <is>
          <t>CDL SAO PAULO</t>
        </is>
      </c>
      <c r="B6" s="18" t="n">
        <v>46209.88335648148</v>
      </c>
      <c r="C6" s="18" t="n">
        <v>46211</v>
      </c>
      <c r="D6" s="19" t="n">
        <v>30.1</v>
      </c>
      <c r="E6" s="17" t="n"/>
      <c r="F6" s="17" t="n"/>
    </row>
    <row r="7">
      <c r="A7" s="17" t="inlineStr">
        <is>
          <t>CDL SAO PAULO</t>
        </is>
      </c>
      <c r="B7" s="18" t="n">
        <v>46216.91094907407</v>
      </c>
      <c r="C7" s="18" t="n">
        <v>46217</v>
      </c>
      <c r="D7" s="19" t="n">
        <v>6</v>
      </c>
      <c r="E7" s="17" t="n"/>
      <c r="F7" s="17" t="n"/>
    </row>
    <row r="8">
      <c r="A8" s="17" t="inlineStr">
        <is>
          <t>CDL SAO PAULO</t>
        </is>
      </c>
      <c r="B8" s="18" t="n">
        <v>46216.91094907407</v>
      </c>
      <c r="C8" s="18" t="n">
        <v>46217</v>
      </c>
      <c r="D8" s="19" t="n">
        <v>18.06</v>
      </c>
      <c r="E8" s="17" t="n"/>
      <c r="F8" s="17" t="n"/>
    </row>
    <row r="9">
      <c r="A9" s="17" t="inlineStr">
        <is>
          <t>CDL SAO PAULO</t>
        </is>
      </c>
      <c r="B9" s="18" t="n">
        <v>46216.91094907407</v>
      </c>
      <c r="C9" s="18" t="n">
        <v>46217</v>
      </c>
      <c r="D9" s="19" t="n">
        <v>76.17</v>
      </c>
      <c r="E9" s="17" t="n"/>
      <c r="F9" s="17" t="n"/>
    </row>
    <row r="10">
      <c r="A10" s="17" t="inlineStr">
        <is>
          <t>MISTRAL</t>
        </is>
      </c>
      <c r="B10" s="18" t="n">
        <v>46203.39236111111</v>
      </c>
      <c r="C10" s="18" t="n">
        <v>46204</v>
      </c>
      <c r="D10" s="19" t="n">
        <v>78.16</v>
      </c>
      <c r="E10" s="17" t="n"/>
      <c r="F10" s="17" t="n"/>
    </row>
    <row r="11">
      <c r="A11" s="20" t="inlineStr">
        <is>
          <t>MISTRAL</t>
        </is>
      </c>
      <c r="B11" s="21" t="n">
        <v>46203.51736111111</v>
      </c>
      <c r="C11" s="21" t="n">
        <v>46204</v>
      </c>
      <c r="D11" s="22" t="n">
        <v>6860.5</v>
      </c>
      <c r="E11" s="20" t="n"/>
      <c r="F11" s="20" t="n"/>
    </row>
    <row r="12">
      <c r="A12" s="20" t="inlineStr">
        <is>
          <t>FREIXENET</t>
        </is>
      </c>
      <c r="B12" s="21" t="n">
        <v>46224.42430555556</v>
      </c>
      <c r="C12" s="21" t="n">
        <v>46225</v>
      </c>
      <c r="D12" s="22" t="n">
        <v>1217.37</v>
      </c>
      <c r="E12" s="20" t="n"/>
      <c r="F12" s="20" t="n"/>
    </row>
    <row r="13">
      <c r="A13" s="20" t="inlineStr">
        <is>
          <t>ST ETIENE PADARIA</t>
        </is>
      </c>
      <c r="B13" s="21" t="n">
        <v>46210.47777777778</v>
      </c>
      <c r="C13" s="21" t="n">
        <v>46210</v>
      </c>
      <c r="D13" s="22" t="n">
        <v>4293.24</v>
      </c>
      <c r="E13" s="20" t="n"/>
      <c r="F13" s="20" t="n"/>
    </row>
    <row r="14">
      <c r="A14" s="17" t="inlineStr">
        <is>
          <t>ULTRA CLASSIC</t>
        </is>
      </c>
      <c r="B14" s="18" t="n">
        <v>46213.45891203704</v>
      </c>
      <c r="C14" s="18" t="n">
        <v>46213</v>
      </c>
      <c r="D14" s="19" t="n">
        <v>500</v>
      </c>
      <c r="E14" s="17" t="n"/>
      <c r="F14" s="17" t="n"/>
    </row>
    <row r="15">
      <c r="A15" s="17" t="inlineStr">
        <is>
          <t>ULTRA CLASSIC</t>
        </is>
      </c>
      <c r="B15" s="18" t="n">
        <v>46224.70079861111</v>
      </c>
      <c r="C15" s="18" t="n">
        <v>46224</v>
      </c>
      <c r="D15" s="19" t="n">
        <v>875</v>
      </c>
      <c r="E15" s="17" t="n"/>
      <c r="F15" s="17" t="n"/>
    </row>
    <row r="16">
      <c r="A16" s="20" t="inlineStr">
        <is>
          <t>LA PASTINA</t>
        </is>
      </c>
      <c r="B16" s="21" t="n">
        <v>46230.51597222222</v>
      </c>
      <c r="C16" s="21" t="n">
        <v>46231</v>
      </c>
      <c r="D16" s="22" t="n">
        <v>1114.19</v>
      </c>
      <c r="E16" s="20" t="n"/>
      <c r="F16" s="20" t="n"/>
    </row>
    <row r="17">
      <c r="A17" s="17" t="inlineStr">
        <is>
          <t>PIMENTA ROSA</t>
        </is>
      </c>
      <c r="B17" s="18" t="n">
        <v>46203.78267361111</v>
      </c>
      <c r="C17" s="18" t="n">
        <v>46204</v>
      </c>
      <c r="D17" s="19" t="n">
        <v>245.4</v>
      </c>
      <c r="E17" s="17" t="n"/>
      <c r="F17" s="17" t="n"/>
    </row>
    <row r="18">
      <c r="A18" s="17" t="inlineStr">
        <is>
          <t>AIB VELAS</t>
        </is>
      </c>
      <c r="B18" s="18" t="n">
        <v>46223.65697916667</v>
      </c>
      <c r="C18" s="18" t="n">
        <v>46224</v>
      </c>
      <c r="D18" s="19" t="n">
        <v>392.35</v>
      </c>
      <c r="E18" s="17" t="n"/>
      <c r="F18" s="17" t="n"/>
    </row>
    <row r="19">
      <c r="A19" s="17" t="inlineStr">
        <is>
          <t>Multi Mix Ecommerce</t>
        </is>
      </c>
      <c r="B19" s="18" t="n">
        <v>46182.51445601852</v>
      </c>
      <c r="C19" s="18" t="n">
        <v>46211</v>
      </c>
      <c r="D19" s="19" t="n">
        <v>146</v>
      </c>
      <c r="E19" s="17" t="n"/>
      <c r="F19" s="17" t="n"/>
    </row>
    <row r="20">
      <c r="A20" s="17" t="inlineStr">
        <is>
          <t>KALUNGA SA</t>
        </is>
      </c>
      <c r="B20" s="18" t="n">
        <v>46206.46072916667</v>
      </c>
      <c r="C20" s="18" t="n">
        <v>46206</v>
      </c>
      <c r="D20" s="19" t="n">
        <v>298.22</v>
      </c>
      <c r="E20" s="17" t="n"/>
      <c r="F20" s="17" t="n"/>
    </row>
    <row r="21">
      <c r="A21" s="17" t="inlineStr">
        <is>
          <t>ELO - FRUTI</t>
        </is>
      </c>
      <c r="B21" s="18" t="n">
        <v>46223.91938657407</v>
      </c>
      <c r="C21" s="18" t="n">
        <v>46224</v>
      </c>
      <c r="D21" s="19" t="n">
        <v>212.26</v>
      </c>
      <c r="E21" s="17" t="n"/>
      <c r="F21" s="17" t="n"/>
    </row>
    <row r="22">
      <c r="A22" s="20" t="inlineStr">
        <is>
          <t>PC GAMER INFO INFORMATICA LTDA</t>
        </is>
      </c>
      <c r="B22" s="21" t="n">
        <v>46180.49657407407</v>
      </c>
      <c r="C22" s="21" t="n">
        <v>46211</v>
      </c>
      <c r="D22" s="22" t="n">
        <v>1811.4</v>
      </c>
      <c r="E22" s="20" t="n"/>
      <c r="F22" s="20" t="n"/>
    </row>
    <row r="23">
      <c r="A23" s="17" t="inlineStr">
        <is>
          <t>PLUG USE LOJA</t>
        </is>
      </c>
      <c r="B23" s="18" t="n">
        <v>46178.46302083333</v>
      </c>
      <c r="C23" s="18" t="n">
        <v>46211</v>
      </c>
      <c r="D23" s="19" t="n">
        <v>68.44</v>
      </c>
      <c r="E23" s="17" t="n"/>
      <c r="F23" s="17" t="n"/>
    </row>
    <row r="24">
      <c r="A24" s="20" t="inlineStr">
        <is>
          <t>FESTA &amp; CIA</t>
        </is>
      </c>
      <c r="B24" s="21" t="n">
        <v>46181.36820601852</v>
      </c>
      <c r="C24" s="21" t="n">
        <v>46211</v>
      </c>
      <c r="D24" s="22" t="n">
        <v>1660</v>
      </c>
      <c r="E24" s="20" t="n"/>
      <c r="F24" s="20" t="n"/>
    </row>
    <row r="25">
      <c r="A25" s="17" t="inlineStr">
        <is>
          <t>LC GO FAST COMERCIO DE PRODUTOS LTDA</t>
        </is>
      </c>
      <c r="B25" s="18" t="n">
        <v>46182.6609375</v>
      </c>
      <c r="C25" s="18" t="n">
        <v>46211</v>
      </c>
      <c r="D25" s="19" t="n">
        <v>397.32</v>
      </c>
      <c r="E25" s="17" t="n"/>
      <c r="F25" s="17" t="n"/>
    </row>
    <row r="26">
      <c r="A26" s="17" t="inlineStr">
        <is>
          <t>LC GO FAST COMERCIO DE PRODUTOS LTDA</t>
        </is>
      </c>
      <c r="B26" s="18" t="n">
        <v>46182.66099537037</v>
      </c>
      <c r="C26" s="18" t="n">
        <v>46211</v>
      </c>
      <c r="D26" s="19" t="n">
        <v>264.88</v>
      </c>
      <c r="E26" s="17" t="n"/>
      <c r="F26" s="17" t="n"/>
    </row>
    <row r="27">
      <c r="A27" s="17" t="inlineStr">
        <is>
          <t>EBAZAR.COM.BR. LTDA</t>
        </is>
      </c>
      <c r="B27" s="18" t="n">
        <v>46183.97166666666</v>
      </c>
      <c r="C27" s="18" t="n">
        <v>46211</v>
      </c>
      <c r="D27" s="19" t="n">
        <v>159</v>
      </c>
      <c r="E27" s="17" t="n"/>
      <c r="F27" s="17" t="n"/>
    </row>
    <row r="28">
      <c r="A28" s="17" t="inlineStr">
        <is>
          <t>EBAZAR.COM.BR. LTDA</t>
        </is>
      </c>
      <c r="B28" s="18" t="n">
        <v>46183.97168981482</v>
      </c>
      <c r="C28" s="18" t="n">
        <v>46211</v>
      </c>
      <c r="D28" s="19" t="n">
        <v>159</v>
      </c>
      <c r="E28" s="17" t="n"/>
      <c r="F28" s="17" t="n"/>
    </row>
    <row r="29">
      <c r="A29" s="17" t="inlineStr">
        <is>
          <t>EBAZAR.COM.BR. LTDA</t>
        </is>
      </c>
      <c r="B29" s="18" t="n">
        <v>46219.63386574074</v>
      </c>
      <c r="C29" s="18" t="n">
        <v>46219</v>
      </c>
      <c r="D29" s="19" t="n">
        <v>59.9</v>
      </c>
      <c r="E29" s="17" t="n"/>
      <c r="F29" s="17" t="n"/>
    </row>
    <row r="30">
      <c r="A30" s="17" t="inlineStr">
        <is>
          <t>IRACI BATISTA DOS SANTOS 02583299808</t>
        </is>
      </c>
      <c r="B30" s="18" t="n">
        <v>46191.33802083333</v>
      </c>
      <c r="C30" s="18" t="n">
        <v>46221</v>
      </c>
      <c r="D30" s="19" t="n">
        <v>147.95</v>
      </c>
      <c r="E30" s="17" t="n"/>
      <c r="F30" s="17" t="n"/>
    </row>
    <row r="31">
      <c r="A31" s="17" t="inlineStr">
        <is>
          <t>TL DISTRIBUIDORA</t>
        </is>
      </c>
      <c r="B31" s="18" t="n">
        <v>46230.42800925926</v>
      </c>
      <c r="C31" s="18" t="n">
        <v>46230</v>
      </c>
      <c r="D31" s="19" t="n">
        <v>18</v>
      </c>
      <c r="E31" s="17" t="n"/>
      <c r="F31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38" customWidth="1" min="4" max="4"/>
    <col width="12" customWidth="1" min="5" max="5"/>
    <col width="14" customWidth="1" min="6" max="6"/>
    <col width="10" customWidth="1" min="7" max="7"/>
    <col width="9" customWidth="1" min="8" max="8"/>
    <col width="12" customWidth="1" min="9" max="9"/>
  </cols>
  <sheetData>
    <row r="1">
      <c r="A1" s="13" t="inlineStr">
        <is>
          <t>Excel Fornecedor</t>
        </is>
      </c>
      <c r="B1" s="13" t="inlineStr">
        <is>
          <t>Excel Data</t>
        </is>
      </c>
      <c r="C1" s="13" t="inlineStr">
        <is>
          <t>Excel Valor R$</t>
        </is>
      </c>
      <c r="D1" s="13" t="inlineStr">
        <is>
          <t>Everest Fornecedor</t>
        </is>
      </c>
      <c r="E1" s="13" t="inlineStr">
        <is>
          <t>Everest Data</t>
        </is>
      </c>
      <c r="F1" s="13" t="inlineStr">
        <is>
          <t>Everest Valor R$</t>
        </is>
      </c>
      <c r="G1" s="13" t="inlineStr">
        <is>
          <t>Dif R$</t>
        </is>
      </c>
      <c r="H1" s="13" t="inlineStr">
        <is>
          <t>Dif dias</t>
        </is>
      </c>
      <c r="I1" s="13" t="inlineStr">
        <is>
          <t>Score fornec.</t>
        </is>
      </c>
    </row>
    <row r="2">
      <c r="A2" s="23" t="inlineStr">
        <is>
          <t>MULTIFOODS COM DE ALIM E BEBIDAS LTDA</t>
        </is>
      </c>
      <c r="B2" s="24" t="n">
        <v>46224</v>
      </c>
      <c r="C2" s="25" t="n">
        <v>462.83</v>
      </c>
      <c r="D2" s="23" t="inlineStr">
        <is>
          <t>MULTFOODS</t>
        </is>
      </c>
      <c r="E2" s="24" t="n">
        <v>46224.22569444445</v>
      </c>
      <c r="F2" s="25" t="n">
        <v>506.82</v>
      </c>
      <c r="G2" s="25" t="n">
        <v>43.99</v>
      </c>
      <c r="H2" s="23" t="n">
        <v>0</v>
      </c>
      <c r="I2" s="23" t="n">
        <v>1</v>
      </c>
    </row>
    <row r="3">
      <c r="A3" s="23" t="inlineStr">
        <is>
          <t>MERCADO LIVRE</t>
        </is>
      </c>
      <c r="B3" s="24" t="n">
        <v>46225</v>
      </c>
      <c r="C3" s="25" t="n">
        <v>44.99</v>
      </c>
      <c r="D3" s="23" t="inlineStr">
        <is>
          <t>EBAZAR.COM.BR. LTDA</t>
        </is>
      </c>
      <c r="E3" s="24" t="n">
        <v>46219.63215277778</v>
      </c>
      <c r="F3" s="25" t="n">
        <v>59.9</v>
      </c>
      <c r="G3" s="25" t="n">
        <v>14.91</v>
      </c>
      <c r="H3" s="23" t="n">
        <v>6</v>
      </c>
      <c r="I3" s="23" t="n">
        <v>1</v>
      </c>
    </row>
    <row r="4">
      <c r="A4" s="23" t="inlineStr">
        <is>
          <t>MERCADO LIVRE</t>
        </is>
      </c>
      <c r="B4" s="24" t="n">
        <v>46219</v>
      </c>
      <c r="C4" s="25" t="n">
        <v>42.29</v>
      </c>
      <c r="D4" s="23" t="inlineStr">
        <is>
          <t>EBAZAR.COM.BR. LTDA</t>
        </is>
      </c>
      <c r="E4" s="24" t="n">
        <v>46219.63291666667</v>
      </c>
      <c r="F4" s="25" t="n">
        <v>59.9</v>
      </c>
      <c r="G4" s="25" t="n">
        <v>17.61</v>
      </c>
      <c r="H4" s="23" t="n">
        <v>0</v>
      </c>
      <c r="I4" s="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4" customWidth="1" min="5" max="5"/>
    <col width="42" customWidth="1" min="6" max="6"/>
  </cols>
  <sheetData>
    <row r="1">
      <c r="A1" s="13" t="inlineStr">
        <is>
          <t>Data</t>
        </is>
      </c>
      <c r="B1" s="13" t="inlineStr">
        <is>
          <t>Lancamento</t>
        </is>
      </c>
      <c r="C1" s="13" t="inlineStr">
        <is>
          <t>Parcelamento</t>
        </is>
      </c>
      <c r="D1" s="13" t="inlineStr">
        <is>
          <t>Valor R$</t>
        </is>
      </c>
      <c r="E1" s="13" t="inlineStr">
        <is>
          <t>Cartao</t>
        </is>
      </c>
      <c r="F1" s="13" t="inlineStr">
        <is>
          <t>Classificacao</t>
        </is>
      </c>
    </row>
    <row r="2">
      <c r="A2" s="26" t="n">
        <v>46234</v>
      </c>
      <c r="B2" s="27" t="inlineStr">
        <is>
          <t>Facebk *D94j7wzt32</t>
        </is>
      </c>
      <c r="C2" s="27" t="n"/>
      <c r="D2" s="28" t="n">
        <v>130</v>
      </c>
      <c r="E2" s="27" t="inlineStr">
        <is>
          <t>****9061</t>
        </is>
      </c>
      <c r="F2" s="27" t="inlineStr">
        <is>
          <t>Servico/app (sem DANFE)</t>
        </is>
      </c>
    </row>
    <row r="3">
      <c r="A3" s="26" t="n">
        <v>46234</v>
      </c>
      <c r="B3" s="27" t="inlineStr">
        <is>
          <t>99*</t>
        </is>
      </c>
      <c r="C3" s="27" t="n"/>
      <c r="D3" s="28" t="n">
        <v>92.90000000000001</v>
      </c>
      <c r="E3" s="27" t="inlineStr">
        <is>
          <t>****4280</t>
        </is>
      </c>
      <c r="F3" s="27" t="inlineStr">
        <is>
          <t>Servico/app (sem DANFE)</t>
        </is>
      </c>
    </row>
    <row r="4">
      <c r="A4" s="15" t="n">
        <v>46234</v>
      </c>
      <c r="B4" s="14" t="inlineStr">
        <is>
          <t>Schipper Cons</t>
        </is>
      </c>
      <c r="C4" s="14" t="inlineStr">
        <is>
          <t>Parcela 1 de 3</t>
        </is>
      </c>
      <c r="D4" s="16" t="n">
        <v>921.15</v>
      </c>
      <c r="E4" s="14" t="inlineStr">
        <is>
          <t>****9061</t>
        </is>
      </c>
      <c r="F4" s="14" t="inlineStr">
        <is>
          <t>Mercadoria - conferir NF-e</t>
        </is>
      </c>
    </row>
    <row r="5">
      <c r="A5" s="26" t="n">
        <v>46233</v>
      </c>
      <c r="B5" s="27" t="inlineStr">
        <is>
          <t>Google Ads2978776244</t>
        </is>
      </c>
      <c r="C5" s="27" t="n"/>
      <c r="D5" s="28" t="n">
        <v>2000</v>
      </c>
      <c r="E5" s="27" t="inlineStr">
        <is>
          <t>****9061</t>
        </is>
      </c>
      <c r="F5" s="27" t="inlineStr">
        <is>
          <t>Servico/app (sem DANFE)</t>
        </is>
      </c>
    </row>
    <row r="6">
      <c r="A6" s="26" t="n">
        <v>46233</v>
      </c>
      <c r="B6" s="27" t="inlineStr">
        <is>
          <t>Facebk *B89fsw5u32</t>
        </is>
      </c>
      <c r="C6" s="27" t="n"/>
      <c r="D6" s="28" t="n">
        <v>130</v>
      </c>
      <c r="E6" s="27" t="inlineStr">
        <is>
          <t>****9061</t>
        </is>
      </c>
      <c r="F6" s="27" t="inlineStr">
        <is>
          <t>Servico/app (sem DANFE)</t>
        </is>
      </c>
    </row>
    <row r="7">
      <c r="A7" s="26" t="n">
        <v>46232</v>
      </c>
      <c r="B7" s="27" t="inlineStr">
        <is>
          <t>Facebk *Zb48eyru32</t>
        </is>
      </c>
      <c r="C7" s="27" t="n"/>
      <c r="D7" s="28" t="n">
        <v>130</v>
      </c>
      <c r="E7" s="27" t="inlineStr">
        <is>
          <t>****9061</t>
        </is>
      </c>
      <c r="F7" s="27" t="inlineStr">
        <is>
          <t>Servico/app (sem DANFE)</t>
        </is>
      </c>
    </row>
    <row r="8">
      <c r="A8" s="26" t="n">
        <v>46231</v>
      </c>
      <c r="B8" s="27" t="inlineStr">
        <is>
          <t>Facebk *Szgeayru32</t>
        </is>
      </c>
      <c r="C8" s="27" t="n"/>
      <c r="D8" s="28" t="n">
        <v>130</v>
      </c>
      <c r="E8" s="27" t="inlineStr">
        <is>
          <t>****9061</t>
        </is>
      </c>
      <c r="F8" s="27" t="inlineStr">
        <is>
          <t>Servico/app (sem DANFE)</t>
        </is>
      </c>
    </row>
    <row r="9">
      <c r="A9" s="26" t="n">
        <v>46230</v>
      </c>
      <c r="B9" s="27" t="inlineStr">
        <is>
          <t>Facebk *Fz7pqvzt32</t>
        </is>
      </c>
      <c r="C9" s="27" t="n"/>
      <c r="D9" s="28" t="n">
        <v>130</v>
      </c>
      <c r="E9" s="27" t="inlineStr">
        <is>
          <t>****9061</t>
        </is>
      </c>
      <c r="F9" s="27" t="inlineStr">
        <is>
          <t>Servico/app (sem DANFE)</t>
        </is>
      </c>
    </row>
    <row r="10">
      <c r="A10" s="15" t="n">
        <v>46230</v>
      </c>
      <c r="B10" s="14" t="inlineStr">
        <is>
          <t>Mp *Madalenaaguas</t>
        </is>
      </c>
      <c r="C10" s="14" t="n"/>
      <c r="D10" s="16" t="n">
        <v>18</v>
      </c>
      <c r="E10" s="14" t="inlineStr">
        <is>
          <t>****4280</t>
        </is>
      </c>
      <c r="F10" s="14" t="inlineStr">
        <is>
          <t>Mercadoria - conferir NF-e</t>
        </is>
      </c>
    </row>
    <row r="11">
      <c r="A11" s="26" t="n">
        <v>46229</v>
      </c>
      <c r="B11" s="27" t="inlineStr">
        <is>
          <t>Facebk *2fl9eydu32</t>
        </is>
      </c>
      <c r="C11" s="27" t="n"/>
      <c r="D11" s="28" t="n">
        <v>130</v>
      </c>
      <c r="E11" s="27" t="inlineStr">
        <is>
          <t>****9061</t>
        </is>
      </c>
      <c r="F11" s="27" t="inlineStr">
        <is>
          <t>Servico/app (sem DANFE)</t>
        </is>
      </c>
    </row>
    <row r="12">
      <c r="A12" s="26" t="n">
        <v>46229</v>
      </c>
      <c r="B12" s="27" t="inlineStr">
        <is>
          <t>Ryze Ai</t>
        </is>
      </c>
      <c r="C12" s="27" t="n"/>
      <c r="D12" s="28" t="n">
        <v>56.01</v>
      </c>
      <c r="E12" s="27" t="inlineStr">
        <is>
          <t>****9061</t>
        </is>
      </c>
      <c r="F12" s="27" t="inlineStr">
        <is>
          <t>Servico/app (sem DANFE)</t>
        </is>
      </c>
    </row>
    <row r="13">
      <c r="A13" s="15" t="n">
        <v>46228</v>
      </c>
      <c r="B13" s="14" t="inlineStr">
        <is>
          <t>Sonda S*sonda1451154</t>
        </is>
      </c>
      <c r="C13" s="14" t="n"/>
      <c r="D13" s="16" t="n">
        <v>313.9</v>
      </c>
      <c r="E13" s="14" t="inlineStr">
        <is>
          <t>****9061</t>
        </is>
      </c>
      <c r="F13" s="14" t="inlineStr">
        <is>
          <t>Mercadoria - conferir NF-e</t>
        </is>
      </c>
    </row>
    <row r="14">
      <c r="A14" s="26" t="n">
        <v>46228</v>
      </c>
      <c r="B14" s="27" t="inlineStr">
        <is>
          <t>Google Ads2978776244</t>
        </is>
      </c>
      <c r="C14" s="27" t="n"/>
      <c r="D14" s="28" t="n">
        <v>2000</v>
      </c>
      <c r="E14" s="27" t="inlineStr">
        <is>
          <t>****9061</t>
        </is>
      </c>
      <c r="F14" s="27" t="inlineStr">
        <is>
          <t>Servico/app (sem DANFE)</t>
        </is>
      </c>
    </row>
    <row r="15">
      <c r="A15" s="26" t="n">
        <v>46228</v>
      </c>
      <c r="B15" s="27" t="inlineStr">
        <is>
          <t>Facebk *Xvndjvzt32</t>
        </is>
      </c>
      <c r="C15" s="27" t="n"/>
      <c r="D15" s="28" t="n">
        <v>130</v>
      </c>
      <c r="E15" s="27" t="inlineStr">
        <is>
          <t>****9061</t>
        </is>
      </c>
      <c r="F15" s="27" t="inlineStr">
        <is>
          <t>Servico/app (sem DANFE)</t>
        </is>
      </c>
    </row>
    <row r="16">
      <c r="A16" s="26" t="n">
        <v>46227</v>
      </c>
      <c r="B16" s="27" t="inlineStr">
        <is>
          <t>Facebk *Bqlkwwhu32</t>
        </is>
      </c>
      <c r="C16" s="27" t="n"/>
      <c r="D16" s="28" t="n">
        <v>130</v>
      </c>
      <c r="E16" s="27" t="inlineStr">
        <is>
          <t>****9061</t>
        </is>
      </c>
      <c r="F16" s="27" t="inlineStr">
        <is>
          <t>Servico/app (sem DANFE)</t>
        </is>
      </c>
    </row>
    <row r="17">
      <c r="A17" s="26" t="n">
        <v>46226</v>
      </c>
      <c r="B17" s="27" t="inlineStr">
        <is>
          <t>Facebk *X7gzavzt32</t>
        </is>
      </c>
      <c r="C17" s="27" t="n"/>
      <c r="D17" s="28" t="n">
        <v>130</v>
      </c>
      <c r="E17" s="27" t="inlineStr">
        <is>
          <t>****9061</t>
        </is>
      </c>
      <c r="F17" s="27" t="inlineStr">
        <is>
          <t>Servico/app (sem DANFE)</t>
        </is>
      </c>
    </row>
    <row r="18">
      <c r="A18" s="26" t="n">
        <v>46226</v>
      </c>
      <c r="B18" s="27" t="inlineStr">
        <is>
          <t>Uber Uber *Trip Help.u</t>
        </is>
      </c>
      <c r="C18" s="27" t="n"/>
      <c r="D18" s="28" t="n">
        <v>22.93</v>
      </c>
      <c r="E18" s="27" t="inlineStr">
        <is>
          <t>****4280</t>
        </is>
      </c>
      <c r="F18" s="27" t="inlineStr">
        <is>
          <t>Servico/app (sem DANFE)</t>
        </is>
      </c>
    </row>
    <row r="19">
      <c r="A19" s="26" t="n">
        <v>46225</v>
      </c>
      <c r="B19" s="27" t="inlineStr">
        <is>
          <t>Facebk *3mv5jvvt32</t>
        </is>
      </c>
      <c r="C19" s="27" t="n"/>
      <c r="D19" s="28" t="n">
        <v>130</v>
      </c>
      <c r="E19" s="27" t="inlineStr">
        <is>
          <t>****9061</t>
        </is>
      </c>
      <c r="F19" s="27" t="inlineStr">
        <is>
          <t>Servico/app (sem DANFE)</t>
        </is>
      </c>
    </row>
    <row r="20">
      <c r="A20" s="26" t="n">
        <v>46224</v>
      </c>
      <c r="B20" s="27" t="inlineStr">
        <is>
          <t>Facebk *Wban3wvu32</t>
        </is>
      </c>
      <c r="C20" s="27" t="n"/>
      <c r="D20" s="28" t="n">
        <v>130</v>
      </c>
      <c r="E20" s="27" t="inlineStr">
        <is>
          <t>****9061</t>
        </is>
      </c>
      <c r="F20" s="27" t="inlineStr">
        <is>
          <t>Servico/app (sem DANFE)</t>
        </is>
      </c>
    </row>
    <row r="21">
      <c r="A21" s="26" t="n">
        <v>46224</v>
      </c>
      <c r="B21" s="27" t="inlineStr">
        <is>
          <t>Google Ads2978776244</t>
        </is>
      </c>
      <c r="C21" s="27" t="n"/>
      <c r="D21" s="28" t="n">
        <v>2000</v>
      </c>
      <c r="E21" s="27" t="inlineStr">
        <is>
          <t>****9061</t>
        </is>
      </c>
      <c r="F21" s="27" t="inlineStr">
        <is>
          <t>Servico/app (sem DANFE)</t>
        </is>
      </c>
    </row>
    <row r="22">
      <c r="A22" s="26" t="n">
        <v>46223</v>
      </c>
      <c r="B22" s="27" t="inlineStr">
        <is>
          <t>Setti Soluco*comemorea</t>
        </is>
      </c>
      <c r="C22" s="27" t="n"/>
      <c r="D22" s="28" t="n">
        <v>49</v>
      </c>
      <c r="E22" s="27" t="inlineStr">
        <is>
          <t>****9061</t>
        </is>
      </c>
      <c r="F22" s="27" t="inlineStr">
        <is>
          <t>Servico/app (sem DANFE)</t>
        </is>
      </c>
    </row>
    <row r="23">
      <c r="A23" s="26" t="n">
        <v>46223</v>
      </c>
      <c r="B23" s="27" t="inlineStr">
        <is>
          <t>Facebk *Rr5fdxru32</t>
        </is>
      </c>
      <c r="C23" s="27" t="n"/>
      <c r="D23" s="28" t="n">
        <v>130</v>
      </c>
      <c r="E23" s="27" t="inlineStr">
        <is>
          <t>****9061</t>
        </is>
      </c>
      <c r="F23" s="27" t="inlineStr">
        <is>
          <t>Servico/app (sem DANFE)</t>
        </is>
      </c>
    </row>
    <row r="24">
      <c r="A24" s="26" t="n">
        <v>46222</v>
      </c>
      <c r="B24" s="27" t="inlineStr">
        <is>
          <t>Facebk *Wthunu9u32</t>
        </is>
      </c>
      <c r="C24" s="27" t="n"/>
      <c r="D24" s="28" t="n">
        <v>130</v>
      </c>
      <c r="E24" s="27" t="inlineStr">
        <is>
          <t>****9061</t>
        </is>
      </c>
      <c r="F24" s="27" t="inlineStr">
        <is>
          <t>Servico/app (sem DANFE)</t>
        </is>
      </c>
    </row>
    <row r="25">
      <c r="A25" s="26" t="n">
        <v>46222</v>
      </c>
      <c r="B25" s="27" t="inlineStr">
        <is>
          <t>Ryze Ai</t>
        </is>
      </c>
      <c r="C25" s="27" t="n"/>
      <c r="D25" s="28" t="n">
        <v>56.37</v>
      </c>
      <c r="E25" s="27" t="inlineStr">
        <is>
          <t>****9061</t>
        </is>
      </c>
      <c r="F25" s="27" t="inlineStr">
        <is>
          <t>Servico/app (sem DANFE)</t>
        </is>
      </c>
    </row>
    <row r="26">
      <c r="A26" s="26" t="n">
        <v>46221</v>
      </c>
      <c r="B26" s="27" t="inlineStr">
        <is>
          <t>Facebk *V3s6ku9u32</t>
        </is>
      </c>
      <c r="C26" s="27" t="n"/>
      <c r="D26" s="28" t="n">
        <v>130</v>
      </c>
      <c r="E26" s="27" t="inlineStr">
        <is>
          <t>****9061</t>
        </is>
      </c>
      <c r="F26" s="27" t="inlineStr">
        <is>
          <t>Servico/app (sem DANFE)</t>
        </is>
      </c>
    </row>
    <row r="27">
      <c r="A27" s="26" t="n">
        <v>46220</v>
      </c>
      <c r="B27" s="27" t="inlineStr">
        <is>
          <t>Google Ads2978776244</t>
        </is>
      </c>
      <c r="C27" s="27" t="n"/>
      <c r="D27" s="28" t="n">
        <v>2000</v>
      </c>
      <c r="E27" s="27" t="inlineStr">
        <is>
          <t>****9061</t>
        </is>
      </c>
      <c r="F27" s="27" t="inlineStr">
        <is>
          <t>Servico/app (sem DANFE)</t>
        </is>
      </c>
    </row>
    <row r="28">
      <c r="A28" s="26" t="n">
        <v>46220</v>
      </c>
      <c r="B28" s="27" t="inlineStr">
        <is>
          <t>Facebk *X6atmuzt32</t>
        </is>
      </c>
      <c r="C28" s="27" t="n"/>
      <c r="D28" s="28" t="n">
        <v>130</v>
      </c>
      <c r="E28" s="27" t="inlineStr">
        <is>
          <t>****9061</t>
        </is>
      </c>
      <c r="F28" s="27" t="inlineStr">
        <is>
          <t>Servico/app (sem DANFE)</t>
        </is>
      </c>
    </row>
    <row r="29">
      <c r="A29" s="26" t="n">
        <v>46219</v>
      </c>
      <c r="B29" s="27" t="inlineStr">
        <is>
          <t>Mercado*mercadolivre</t>
        </is>
      </c>
      <c r="C29" s="27" t="n"/>
      <c r="D29" s="28" t="n">
        <v>1.76</v>
      </c>
      <c r="E29" s="27" t="inlineStr">
        <is>
          <t>****9061</t>
        </is>
      </c>
      <c r="F29" s="27" t="inlineStr">
        <is>
          <t>Servico/app (sem DANFE)</t>
        </is>
      </c>
    </row>
    <row r="30">
      <c r="A30" s="26" t="n">
        <v>46219</v>
      </c>
      <c r="B30" s="27" t="inlineStr">
        <is>
          <t>Facebk *89bvxwru32</t>
        </is>
      </c>
      <c r="C30" s="27" t="n"/>
      <c r="D30" s="28" t="n">
        <v>130</v>
      </c>
      <c r="E30" s="27" t="inlineStr">
        <is>
          <t>****9061</t>
        </is>
      </c>
      <c r="F30" s="27" t="inlineStr">
        <is>
          <t>Servico/app (sem DANFE)</t>
        </is>
      </c>
    </row>
    <row r="31">
      <c r="A31" s="26" t="n">
        <v>46219</v>
      </c>
      <c r="B31" s="27" t="inlineStr">
        <is>
          <t>Ebn*canva0494</t>
        </is>
      </c>
      <c r="C31" s="27" t="n"/>
      <c r="D31" s="28" t="n">
        <v>34.9</v>
      </c>
      <c r="E31" s="27" t="inlineStr">
        <is>
          <t>****9061</t>
        </is>
      </c>
      <c r="F31" s="27" t="inlineStr">
        <is>
          <t>Servico/app (sem DANFE)</t>
        </is>
      </c>
    </row>
    <row r="32">
      <c r="A32" s="26" t="n">
        <v>46219</v>
      </c>
      <c r="B32" s="27" t="inlineStr">
        <is>
          <t>Mercadolivre*wwwcasace</t>
        </is>
      </c>
      <c r="C32" s="27" t="n"/>
      <c r="D32" s="28" t="n">
        <v>419.94</v>
      </c>
      <c r="E32" s="27" t="inlineStr">
        <is>
          <t>****9061</t>
        </is>
      </c>
      <c r="F32" s="27" t="inlineStr">
        <is>
          <t>Servico/app (sem DANFE)</t>
        </is>
      </c>
    </row>
    <row r="33">
      <c r="A33" s="26" t="n">
        <v>46218</v>
      </c>
      <c r="B33" s="27" t="inlineStr">
        <is>
          <t>Facebk *95zw8u9u32</t>
        </is>
      </c>
      <c r="C33" s="27" t="n"/>
      <c r="D33" s="28" t="n">
        <v>130</v>
      </c>
      <c r="E33" s="27" t="inlineStr">
        <is>
          <t>****9061</t>
        </is>
      </c>
      <c r="F33" s="27" t="inlineStr">
        <is>
          <t>Servico/app (sem DANFE)</t>
        </is>
      </c>
    </row>
    <row r="34">
      <c r="A34" s="26" t="n">
        <v>46216</v>
      </c>
      <c r="B34" s="27" t="inlineStr">
        <is>
          <t>Anthropic</t>
        </is>
      </c>
      <c r="C34" s="27" t="n"/>
      <c r="D34" s="28" t="n">
        <v>54.2</v>
      </c>
      <c r="E34" s="27" t="inlineStr">
        <is>
          <t>****9061</t>
        </is>
      </c>
      <c r="F34" s="27" t="inlineStr">
        <is>
          <t>Servico/app (sem DANFE)</t>
        </is>
      </c>
    </row>
    <row r="35">
      <c r="A35" s="26" t="n">
        <v>46216</v>
      </c>
      <c r="B35" s="27" t="inlineStr">
        <is>
          <t>Facebk *Qcvwwu5u32</t>
        </is>
      </c>
      <c r="C35" s="27" t="n"/>
      <c r="D35" s="28" t="n">
        <v>130</v>
      </c>
      <c r="E35" s="27" t="inlineStr">
        <is>
          <t>****9061</t>
        </is>
      </c>
      <c r="F35" s="27" t="inlineStr">
        <is>
          <t>Servico/app (sem DANFE)</t>
        </is>
      </c>
    </row>
    <row r="36">
      <c r="A36" s="26" t="n">
        <v>46216</v>
      </c>
      <c r="B36" s="27" t="inlineStr">
        <is>
          <t>Anthropic</t>
        </is>
      </c>
      <c r="C36" s="27" t="n"/>
      <c r="D36" s="28" t="n">
        <v>81.3</v>
      </c>
      <c r="E36" s="27" t="inlineStr">
        <is>
          <t>****9061</t>
        </is>
      </c>
      <c r="F36" s="27" t="inlineStr">
        <is>
          <t>Servico/app (sem DANFE)</t>
        </is>
      </c>
    </row>
    <row r="37">
      <c r="A37" s="26" t="n">
        <v>46216</v>
      </c>
      <c r="B37" s="27" t="inlineStr">
        <is>
          <t>Anthropic</t>
        </is>
      </c>
      <c r="C37" s="27" t="n"/>
      <c r="D37" s="28" t="n">
        <v>542</v>
      </c>
      <c r="E37" s="27" t="inlineStr">
        <is>
          <t>****9061</t>
        </is>
      </c>
      <c r="F37" s="27" t="inlineStr">
        <is>
          <t>Servico/app (sem DANFE)</t>
        </is>
      </c>
    </row>
    <row r="38">
      <c r="A38" s="26" t="n">
        <v>46216</v>
      </c>
      <c r="B38" s="27" t="inlineStr">
        <is>
          <t>Anthropic</t>
        </is>
      </c>
      <c r="C38" s="27" t="n"/>
      <c r="D38" s="28" t="n">
        <v>542</v>
      </c>
      <c r="E38" s="27" t="inlineStr">
        <is>
          <t>****9061</t>
        </is>
      </c>
      <c r="F38" s="27" t="inlineStr">
        <is>
          <t>Servico/app (sem DANFE)</t>
        </is>
      </c>
    </row>
    <row r="39">
      <c r="A39" s="26" t="n">
        <v>46216</v>
      </c>
      <c r="B39" s="27" t="inlineStr">
        <is>
          <t>Anthropic</t>
        </is>
      </c>
      <c r="C39" s="27" t="n"/>
      <c r="D39" s="28" t="n">
        <v>542</v>
      </c>
      <c r="E39" s="27" t="inlineStr">
        <is>
          <t>****9061</t>
        </is>
      </c>
      <c r="F39" s="27" t="inlineStr">
        <is>
          <t>Servico/app (sem DANFE)</t>
        </is>
      </c>
    </row>
    <row r="40">
      <c r="A40" s="26" t="n">
        <v>46216</v>
      </c>
      <c r="B40" s="27" t="inlineStr">
        <is>
          <t>Anthropic</t>
        </is>
      </c>
      <c r="C40" s="27" t="n"/>
      <c r="D40" s="28" t="n">
        <v>542</v>
      </c>
      <c r="E40" s="27" t="inlineStr">
        <is>
          <t>****9061</t>
        </is>
      </c>
      <c r="F40" s="27" t="inlineStr">
        <is>
          <t>Servico/app (sem DANFE)</t>
        </is>
      </c>
    </row>
    <row r="41">
      <c r="A41" s="26" t="n">
        <v>46216</v>
      </c>
      <c r="B41" s="27" t="inlineStr">
        <is>
          <t>Anthropic</t>
        </is>
      </c>
      <c r="C41" s="27" t="n"/>
      <c r="D41" s="28" t="n">
        <v>542</v>
      </c>
      <c r="E41" s="27" t="inlineStr">
        <is>
          <t>****9061</t>
        </is>
      </c>
      <c r="F41" s="27" t="inlineStr">
        <is>
          <t>Servico/app (sem DANFE)</t>
        </is>
      </c>
    </row>
    <row r="42">
      <c r="A42" s="26" t="n">
        <v>46216</v>
      </c>
      <c r="B42" s="27" t="inlineStr">
        <is>
          <t>Anthropic</t>
        </is>
      </c>
      <c r="C42" s="27" t="n"/>
      <c r="D42" s="28" t="n">
        <v>460.7</v>
      </c>
      <c r="E42" s="27" t="inlineStr">
        <is>
          <t>****9061</t>
        </is>
      </c>
      <c r="F42" s="27" t="inlineStr">
        <is>
          <t>Servico/app (sem DANFE)</t>
        </is>
      </c>
    </row>
    <row r="43">
      <c r="A43" s="26" t="n">
        <v>46215</v>
      </c>
      <c r="B43" s="27" t="inlineStr">
        <is>
          <t>Facebk *52mc5vvu32</t>
        </is>
      </c>
      <c r="C43" s="27" t="n"/>
      <c r="D43" s="28" t="n">
        <v>130</v>
      </c>
      <c r="E43" s="27" t="inlineStr">
        <is>
          <t>****9061</t>
        </is>
      </c>
      <c r="F43" s="27" t="inlineStr">
        <is>
          <t>Servico/app (sem DANFE)</t>
        </is>
      </c>
    </row>
    <row r="44">
      <c r="A44" s="26" t="n">
        <v>46215</v>
      </c>
      <c r="B44" s="27" t="inlineStr">
        <is>
          <t>Ryze Ai</t>
        </is>
      </c>
      <c r="C44" s="27" t="n"/>
      <c r="D44" s="28" t="n">
        <v>56.21</v>
      </c>
      <c r="E44" s="27" t="inlineStr">
        <is>
          <t>****9061</t>
        </is>
      </c>
      <c r="F44" s="27" t="inlineStr">
        <is>
          <t>Servico/app (sem DANFE)</t>
        </is>
      </c>
    </row>
    <row r="45">
      <c r="A45" s="26" t="n">
        <v>46214</v>
      </c>
      <c r="B45" s="27" t="inlineStr">
        <is>
          <t>Facebk *Pnfpqu5u32</t>
        </is>
      </c>
      <c r="C45" s="27" t="n"/>
      <c r="D45" s="28" t="n">
        <v>130</v>
      </c>
      <c r="E45" s="27" t="inlineStr">
        <is>
          <t>****9061</t>
        </is>
      </c>
      <c r="F45" s="27" t="inlineStr">
        <is>
          <t>Servico/app (sem DANFE)</t>
        </is>
      </c>
    </row>
    <row r="46">
      <c r="A46" s="26" t="n">
        <v>46214</v>
      </c>
      <c r="B46" s="27" t="inlineStr">
        <is>
          <t>Google Ads2978776244</t>
        </is>
      </c>
      <c r="C46" s="27" t="n"/>
      <c r="D46" s="28" t="n">
        <v>2000</v>
      </c>
      <c r="E46" s="27" t="inlineStr">
        <is>
          <t>****9061</t>
        </is>
      </c>
      <c r="F46" s="27" t="inlineStr">
        <is>
          <t>Servico/app (sem DANFE)</t>
        </is>
      </c>
    </row>
    <row r="47">
      <c r="A47" s="26" t="n">
        <v>46213</v>
      </c>
      <c r="B47" s="27" t="inlineStr">
        <is>
          <t>Facebk *7xagmu5u32</t>
        </is>
      </c>
      <c r="C47" s="27" t="n"/>
      <c r="D47" s="28" t="n">
        <v>130</v>
      </c>
      <c r="E47" s="27" t="inlineStr">
        <is>
          <t>****9061</t>
        </is>
      </c>
      <c r="F47" s="27" t="inlineStr">
        <is>
          <t>Servico/app (sem DANFE)</t>
        </is>
      </c>
    </row>
    <row r="48">
      <c r="A48" s="26" t="n">
        <v>46212</v>
      </c>
      <c r="B48" s="27" t="inlineStr">
        <is>
          <t>Facebk *8gdtkwdu32</t>
        </is>
      </c>
      <c r="C48" s="27" t="n"/>
      <c r="D48" s="28" t="n">
        <v>130</v>
      </c>
      <c r="E48" s="27" t="inlineStr">
        <is>
          <t>****9061</t>
        </is>
      </c>
      <c r="F48" s="27" t="inlineStr">
        <is>
          <t>Servico/app (sem DANFE)</t>
        </is>
      </c>
    </row>
    <row r="49">
      <c r="A49" s="26" t="n">
        <v>46211</v>
      </c>
      <c r="B49" s="27" t="inlineStr">
        <is>
          <t>Anthropic</t>
        </is>
      </c>
      <c r="C49" s="27" t="n"/>
      <c r="D49" s="28" t="n">
        <v>109.4</v>
      </c>
      <c r="E49" s="27" t="inlineStr">
        <is>
          <t>****9061</t>
        </is>
      </c>
      <c r="F49" s="27" t="inlineStr">
        <is>
          <t>Servico/app (sem DANFE)</t>
        </is>
      </c>
    </row>
    <row r="50">
      <c r="A50" s="26" t="n">
        <v>46211</v>
      </c>
      <c r="B50" s="27" t="inlineStr">
        <is>
          <t>Anthropic</t>
        </is>
      </c>
      <c r="C50" s="27" t="n"/>
      <c r="D50" s="28" t="n">
        <v>136.75</v>
      </c>
      <c r="E50" s="27" t="inlineStr">
        <is>
          <t>****9061</t>
        </is>
      </c>
      <c r="F50" s="27" t="inlineStr">
        <is>
          <t>Servico/app (sem DANFE)</t>
        </is>
      </c>
    </row>
    <row r="51">
      <c r="A51" s="26" t="n">
        <v>46211</v>
      </c>
      <c r="B51" s="27" t="inlineStr">
        <is>
          <t>Anthropic</t>
        </is>
      </c>
      <c r="C51" s="27" t="n"/>
      <c r="D51" s="28" t="n">
        <v>245.22</v>
      </c>
      <c r="E51" s="27" t="inlineStr">
        <is>
          <t>****9061</t>
        </is>
      </c>
      <c r="F51" s="27" t="inlineStr">
        <is>
          <t>Servico/app (sem DANFE)</t>
        </is>
      </c>
    </row>
    <row r="52">
      <c r="A52" s="26" t="n">
        <v>46211</v>
      </c>
      <c r="B52" s="27" t="inlineStr">
        <is>
          <t>Facebk *Lcxkqtzt32</t>
        </is>
      </c>
      <c r="C52" s="27" t="n"/>
      <c r="D52" s="28" t="n">
        <v>130</v>
      </c>
      <c r="E52" s="27" t="inlineStr">
        <is>
          <t>****9061</t>
        </is>
      </c>
      <c r="F52" s="27" t="inlineStr">
        <is>
          <t>Servico/app (sem DANFE)</t>
        </is>
      </c>
    </row>
    <row r="53">
      <c r="A53" s="26" t="n">
        <v>46210</v>
      </c>
      <c r="B53" s="27" t="inlineStr">
        <is>
          <t>Facebk *Sveadwdu32</t>
        </is>
      </c>
      <c r="C53" s="27" t="n"/>
      <c r="D53" s="28" t="n">
        <v>130</v>
      </c>
      <c r="E53" s="27" t="inlineStr">
        <is>
          <t>****9061</t>
        </is>
      </c>
      <c r="F53" s="27" t="inlineStr">
        <is>
          <t>Servico/app (sem DANFE)</t>
        </is>
      </c>
    </row>
    <row r="54">
      <c r="A54" s="26" t="n">
        <v>46210</v>
      </c>
      <c r="B54" s="27" t="inlineStr">
        <is>
          <t>Dm*spotify</t>
        </is>
      </c>
      <c r="C54" s="27" t="n"/>
      <c r="D54" s="28" t="n">
        <v>40.9</v>
      </c>
      <c r="E54" s="27" t="inlineStr">
        <is>
          <t>****9061</t>
        </is>
      </c>
      <c r="F54" s="27" t="inlineStr">
        <is>
          <t>Servico/app (sem DANFE)</t>
        </is>
      </c>
    </row>
    <row r="55">
      <c r="A55" s="26" t="n">
        <v>46209</v>
      </c>
      <c r="B55" s="27" t="inlineStr">
        <is>
          <t>Facebk *Q32vhtzt32</t>
        </is>
      </c>
      <c r="C55" s="27" t="n"/>
      <c r="D55" s="28" t="n">
        <v>130</v>
      </c>
      <c r="E55" s="27" t="inlineStr">
        <is>
          <t>****9061</t>
        </is>
      </c>
      <c r="F55" s="27" t="inlineStr">
        <is>
          <t>Servico/app (sem DANFE)</t>
        </is>
      </c>
    </row>
    <row r="56">
      <c r="A56" s="26" t="n">
        <v>46209</v>
      </c>
      <c r="B56" s="27" t="inlineStr">
        <is>
          <t>Anthropic</t>
        </is>
      </c>
      <c r="C56" s="27" t="n"/>
      <c r="D56" s="28" t="n">
        <v>109.6</v>
      </c>
      <c r="E56" s="27" t="inlineStr">
        <is>
          <t>****9061</t>
        </is>
      </c>
      <c r="F56" s="27" t="inlineStr">
        <is>
          <t>Servico/app (sem DANFE)</t>
        </is>
      </c>
    </row>
    <row r="57">
      <c r="A57" s="26" t="n">
        <v>46209</v>
      </c>
      <c r="B57" s="27" t="inlineStr">
        <is>
          <t>Anthropic</t>
        </is>
      </c>
      <c r="C57" s="27" t="n"/>
      <c r="D57" s="28" t="n">
        <v>109.6</v>
      </c>
      <c r="E57" s="27" t="inlineStr">
        <is>
          <t>****9061</t>
        </is>
      </c>
      <c r="F57" s="27" t="inlineStr">
        <is>
          <t>Servico/app (sem DANFE)</t>
        </is>
      </c>
    </row>
    <row r="58">
      <c r="A58" s="26" t="n">
        <v>46208</v>
      </c>
      <c r="B58" s="27" t="inlineStr">
        <is>
          <t>Anthropic</t>
        </is>
      </c>
      <c r="C58" s="27" t="n"/>
      <c r="D58" s="28" t="n">
        <v>110</v>
      </c>
      <c r="E58" s="27" t="inlineStr">
        <is>
          <t>****9061</t>
        </is>
      </c>
      <c r="F58" s="27" t="inlineStr">
        <is>
          <t>Servico/app (sem DANFE)</t>
        </is>
      </c>
    </row>
    <row r="59">
      <c r="A59" s="26" t="n">
        <v>46208</v>
      </c>
      <c r="B59" s="27" t="inlineStr">
        <is>
          <t>Ryze Ai</t>
        </is>
      </c>
      <c r="C59" s="27" t="n"/>
      <c r="D59" s="28" t="n">
        <v>56.93</v>
      </c>
      <c r="E59" s="27" t="inlineStr">
        <is>
          <t>****9061</t>
        </is>
      </c>
      <c r="F59" s="27" t="inlineStr">
        <is>
          <t>Servico/app (sem DANFE)</t>
        </is>
      </c>
    </row>
    <row r="60">
      <c r="A60" s="26" t="n">
        <v>46208</v>
      </c>
      <c r="B60" s="27" t="inlineStr">
        <is>
          <t>Anthropic</t>
        </is>
      </c>
      <c r="C60" s="27" t="n"/>
      <c r="D60" s="28" t="n">
        <v>110</v>
      </c>
      <c r="E60" s="27" t="inlineStr">
        <is>
          <t>****9061</t>
        </is>
      </c>
      <c r="F60" s="27" t="inlineStr">
        <is>
          <t>Servico/app (sem DANFE)</t>
        </is>
      </c>
    </row>
    <row r="61">
      <c r="A61" s="26" t="n">
        <v>46208</v>
      </c>
      <c r="B61" s="27" t="inlineStr">
        <is>
          <t>Facebk *Lxn35u5u32</t>
        </is>
      </c>
      <c r="C61" s="27" t="n"/>
      <c r="D61" s="28" t="n">
        <v>130</v>
      </c>
      <c r="E61" s="27" t="inlineStr">
        <is>
          <t>****9061</t>
        </is>
      </c>
      <c r="F61" s="27" t="inlineStr">
        <is>
          <t>Servico/app (sem DANFE)</t>
        </is>
      </c>
    </row>
    <row r="62">
      <c r="A62" s="26" t="n">
        <v>46208</v>
      </c>
      <c r="B62" s="27" t="inlineStr">
        <is>
          <t>Ryze Ai</t>
        </is>
      </c>
      <c r="C62" s="27" t="n"/>
      <c r="D62" s="28" t="n">
        <v>3.96</v>
      </c>
      <c r="E62" s="27" t="inlineStr">
        <is>
          <t>****9061</t>
        </is>
      </c>
      <c r="F62" s="27" t="inlineStr">
        <is>
          <t>Servico/app (sem DANFE)</t>
        </is>
      </c>
    </row>
    <row r="63">
      <c r="A63" s="26" t="n">
        <v>46208</v>
      </c>
      <c r="B63" s="27" t="inlineStr">
        <is>
          <t>Anthropic</t>
        </is>
      </c>
      <c r="C63" s="27" t="n"/>
      <c r="D63" s="28" t="n">
        <v>110</v>
      </c>
      <c r="E63" s="27" t="inlineStr">
        <is>
          <t>****9061</t>
        </is>
      </c>
      <c r="F63" s="27" t="inlineStr">
        <is>
          <t>Servico/app (sem DANFE)</t>
        </is>
      </c>
    </row>
    <row r="64">
      <c r="A64" s="26" t="n">
        <v>46207</v>
      </c>
      <c r="B64" s="27" t="inlineStr">
        <is>
          <t>Ryze Ai</t>
        </is>
      </c>
      <c r="C64" s="27" t="n"/>
      <c r="D64" s="28" t="n">
        <v>19.31</v>
      </c>
      <c r="E64" s="27" t="inlineStr">
        <is>
          <t>****9061</t>
        </is>
      </c>
      <c r="F64" s="27" t="inlineStr">
        <is>
          <t>Servico/app (sem DANFE)</t>
        </is>
      </c>
    </row>
    <row r="65">
      <c r="A65" s="26" t="n">
        <v>46207</v>
      </c>
      <c r="B65" s="27" t="inlineStr">
        <is>
          <t>Facebk *26gtmtvt32</t>
        </is>
      </c>
      <c r="C65" s="27" t="n"/>
      <c r="D65" s="28" t="n">
        <v>130</v>
      </c>
      <c r="E65" s="27" t="inlineStr">
        <is>
          <t>****9061</t>
        </is>
      </c>
      <c r="F65" s="27" t="inlineStr">
        <is>
          <t>Servico/app (sem DANFE)</t>
        </is>
      </c>
    </row>
    <row r="66">
      <c r="A66" s="15" t="n">
        <v>46206</v>
      </c>
      <c r="B66" s="14" t="inlineStr">
        <is>
          <t>Kalunga.com</t>
        </is>
      </c>
      <c r="C66" s="14" t="n"/>
      <c r="D66" s="16" t="n">
        <v>298.22</v>
      </c>
      <c r="E66" s="14" t="inlineStr">
        <is>
          <t>****9061</t>
        </is>
      </c>
      <c r="F66" s="14" t="inlineStr">
        <is>
          <t>Mercadoria - conferir NF-e</t>
        </is>
      </c>
    </row>
    <row r="67">
      <c r="A67" s="26" t="n">
        <v>46206</v>
      </c>
      <c r="B67" s="27" t="inlineStr">
        <is>
          <t>Ryze Ai</t>
        </is>
      </c>
      <c r="C67" s="27" t="n"/>
      <c r="D67" s="28" t="n">
        <v>10.51</v>
      </c>
      <c r="E67" s="27" t="inlineStr">
        <is>
          <t>****9061</t>
        </is>
      </c>
      <c r="F67" s="27" t="inlineStr">
        <is>
          <t>Servico/app (sem DANFE)</t>
        </is>
      </c>
    </row>
    <row r="68">
      <c r="A68" s="26" t="n">
        <v>46206</v>
      </c>
      <c r="B68" s="27" t="inlineStr">
        <is>
          <t>Facebk *F5rfxvdu32</t>
        </is>
      </c>
      <c r="C68" s="27" t="n"/>
      <c r="D68" s="28" t="n">
        <v>130</v>
      </c>
      <c r="E68" s="27" t="inlineStr">
        <is>
          <t>****9061</t>
        </is>
      </c>
      <c r="F68" s="27" t="inlineStr">
        <is>
          <t>Servico/app (sem DANFE)</t>
        </is>
      </c>
    </row>
    <row r="69">
      <c r="A69" s="26" t="n">
        <v>46205</v>
      </c>
      <c r="B69" s="27" t="inlineStr">
        <is>
          <t>Facebk *6hnqdsmu32</t>
        </is>
      </c>
      <c r="C69" s="27" t="n"/>
      <c r="D69" s="28" t="n">
        <v>130</v>
      </c>
      <c r="E69" s="27" t="inlineStr">
        <is>
          <t>****9061</t>
        </is>
      </c>
      <c r="F69" s="27" t="inlineStr">
        <is>
          <t>Servico/app (sem DANFE)</t>
        </is>
      </c>
    </row>
    <row r="70">
      <c r="A70" s="26" t="n">
        <v>46205</v>
      </c>
      <c r="B70" s="27" t="inlineStr">
        <is>
          <t>Lalamove Tecnologia Br</t>
        </is>
      </c>
      <c r="C70" s="27" t="n"/>
      <c r="D70" s="28" t="n">
        <v>125</v>
      </c>
      <c r="E70" s="27" t="inlineStr">
        <is>
          <t>****9061</t>
        </is>
      </c>
      <c r="F70" s="27" t="inlineStr">
        <is>
          <t>Servico/app (sem DANFE)</t>
        </is>
      </c>
    </row>
    <row r="71">
      <c r="A71" s="26" t="n">
        <v>46204</v>
      </c>
      <c r="B71" s="27" t="inlineStr">
        <is>
          <t>Google Cloud Z7n7nc</t>
        </is>
      </c>
      <c r="C71" s="27" t="n"/>
      <c r="D71" s="28" t="n">
        <v>1032.76</v>
      </c>
      <c r="E71" s="27" t="inlineStr">
        <is>
          <t>****9061</t>
        </is>
      </c>
      <c r="F71" s="27" t="inlineStr">
        <is>
          <t>Servico/app (sem DANFE)</t>
        </is>
      </c>
    </row>
    <row r="72">
      <c r="A72" s="26" t="n">
        <v>46204</v>
      </c>
      <c r="B72" s="27" t="inlineStr">
        <is>
          <t>Ryze Ai</t>
        </is>
      </c>
      <c r="C72" s="27" t="n"/>
      <c r="D72" s="28" t="n">
        <v>27.77</v>
      </c>
      <c r="E72" s="27" t="inlineStr">
        <is>
          <t>****9061</t>
        </is>
      </c>
      <c r="F72" s="27" t="inlineStr">
        <is>
          <t>Servico/app (sem DANFE)</t>
        </is>
      </c>
    </row>
    <row r="73">
      <c r="A73" s="26" t="n">
        <v>46204</v>
      </c>
      <c r="B73" s="27" t="inlineStr">
        <is>
          <t>Facebk *Dtc4asmu32</t>
        </is>
      </c>
      <c r="C73" s="27" t="n"/>
      <c r="D73" s="28" t="n">
        <v>130</v>
      </c>
      <c r="E73" s="27" t="inlineStr">
        <is>
          <t>****9061</t>
        </is>
      </c>
      <c r="F73" s="27" t="inlineStr">
        <is>
          <t>Servico/app (sem DANFE)</t>
        </is>
      </c>
    </row>
    <row r="74">
      <c r="A74" s="26" t="n">
        <v>46204</v>
      </c>
      <c r="B74" s="27" t="inlineStr">
        <is>
          <t>Facebk *W577asmu32</t>
        </is>
      </c>
      <c r="C74" s="27" t="n"/>
      <c r="D74" s="28" t="n">
        <v>88.55</v>
      </c>
      <c r="E74" s="27" t="inlineStr">
        <is>
          <t>****9061</t>
        </is>
      </c>
      <c r="F74" s="27" t="inlineStr">
        <is>
          <t>Servico/app (sem DANFE)</t>
        </is>
      </c>
    </row>
    <row r="75">
      <c r="A75" s="26" t="n">
        <v>46204</v>
      </c>
      <c r="B75" s="27" t="inlineStr">
        <is>
          <t>Google Ads2978776244</t>
        </is>
      </c>
      <c r="C75" s="27" t="n"/>
      <c r="D75" s="28" t="n">
        <v>1665.22</v>
      </c>
      <c r="E75" s="27" t="inlineStr">
        <is>
          <t>****9061</t>
        </is>
      </c>
      <c r="F75" s="27" t="inlineStr">
        <is>
          <t>Servico/app (sem DANFE)</t>
        </is>
      </c>
    </row>
    <row r="76">
      <c r="A76" s="26" t="n">
        <v>46204</v>
      </c>
      <c r="B76" s="27" t="inlineStr">
        <is>
          <t>Google Workspace_pedem</t>
        </is>
      </c>
      <c r="C76" s="27" t="n"/>
      <c r="D76" s="28" t="n">
        <v>94.73</v>
      </c>
      <c r="E76" s="27" t="inlineStr">
        <is>
          <t>****9061</t>
        </is>
      </c>
      <c r="F76" s="27" t="inlineStr">
        <is>
          <t>Servico/app (sem DANFE)</t>
        </is>
      </c>
    </row>
    <row r="77">
      <c r="A77" s="15" t="n">
        <v>46204</v>
      </c>
      <c r="B77" s="14" t="inlineStr">
        <is>
          <t>Mp *Tiagohenriquealves</t>
        </is>
      </c>
      <c r="C77" s="14" t="n"/>
      <c r="D77" s="16" t="n">
        <v>19</v>
      </c>
      <c r="E77" s="14" t="inlineStr">
        <is>
          <t>****4280</t>
        </is>
      </c>
      <c r="F77" s="14" t="inlineStr">
        <is>
          <t>Mercadoria - conferir NF-e</t>
        </is>
      </c>
    </row>
    <row r="78">
      <c r="A78" s="26" t="n">
        <v>46203</v>
      </c>
      <c r="B78" s="27" t="inlineStr">
        <is>
          <t>Tim*11981472453</t>
        </is>
      </c>
      <c r="C78" s="27" t="n"/>
      <c r="D78" s="28" t="n">
        <v>49.99</v>
      </c>
      <c r="E78" s="27" t="inlineStr">
        <is>
          <t>****9061</t>
        </is>
      </c>
      <c r="F78" s="27" t="inlineStr">
        <is>
          <t>Servico/app (sem DANFE)</t>
        </is>
      </c>
    </row>
    <row r="79">
      <c r="A79" s="26" t="n">
        <v>46203</v>
      </c>
      <c r="B79" s="27" t="inlineStr">
        <is>
          <t>Ryze Ai</t>
        </is>
      </c>
      <c r="C79" s="27" t="n"/>
      <c r="D79" s="28" t="n">
        <v>25.03</v>
      </c>
      <c r="E79" s="27" t="inlineStr">
        <is>
          <t>****9061</t>
        </is>
      </c>
      <c r="F79" s="27" t="inlineStr">
        <is>
          <t>Servico/app (sem DANFE)</t>
        </is>
      </c>
    </row>
    <row r="80">
      <c r="A80" s="26" t="n">
        <v>46175</v>
      </c>
      <c r="B80" s="27" t="inlineStr">
        <is>
          <t>Mag*magalu-magazin</t>
        </is>
      </c>
      <c r="C80" s="27" t="inlineStr">
        <is>
          <t>Parcela 2 de 10</t>
        </is>
      </c>
      <c r="D80" s="28" t="n">
        <v>629.9</v>
      </c>
      <c r="E80" s="27" t="inlineStr">
        <is>
          <t>****9061</t>
        </is>
      </c>
      <c r="F80" s="27" t="inlineStr">
        <is>
          <t>Servico/app (sem DANFE)</t>
        </is>
      </c>
    </row>
    <row r="81">
      <c r="A81" s="15" t="n">
        <v>45974</v>
      </c>
      <c r="B81" s="14" t="inlineStr">
        <is>
          <t>Tramontina</t>
        </is>
      </c>
      <c r="C81" s="14" t="inlineStr">
        <is>
          <t>Parcela 9 de 10</t>
        </is>
      </c>
      <c r="D81" s="16" t="n">
        <v>402.35</v>
      </c>
      <c r="E81" s="14" t="inlineStr">
        <is>
          <t>****9061</t>
        </is>
      </c>
      <c r="F81" s="14" t="inlineStr">
        <is>
          <t>Mercadoria - conferir NF-e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38" customWidth="1" min="4" max="4"/>
    <col width="12" customWidth="1" min="5" max="5"/>
    <col width="14" customWidth="1" min="6" max="6"/>
    <col width="10" customWidth="1" min="7" max="7"/>
    <col width="9" customWidth="1" min="8" max="8"/>
    <col width="12" customWidth="1" min="9" max="9"/>
  </cols>
  <sheetData>
    <row r="1">
      <c r="A1" s="13" t="inlineStr">
        <is>
          <t>Fatura Fornecedor</t>
        </is>
      </c>
      <c r="B1" s="13" t="inlineStr">
        <is>
          <t>Fatura Data</t>
        </is>
      </c>
      <c r="C1" s="13" t="inlineStr">
        <is>
          <t>Fatura Valor R$</t>
        </is>
      </c>
      <c r="D1" s="13" t="inlineStr">
        <is>
          <t>Excel Fornecedor</t>
        </is>
      </c>
      <c r="E1" s="13" t="inlineStr">
        <is>
          <t>Excel Data</t>
        </is>
      </c>
      <c r="F1" s="13" t="inlineStr">
        <is>
          <t>Excel Valor R$</t>
        </is>
      </c>
      <c r="G1" s="13" t="inlineStr">
        <is>
          <t>Dif R$</t>
        </is>
      </c>
      <c r="H1" s="13" t="inlineStr">
        <is>
          <t>Dif dias</t>
        </is>
      </c>
      <c r="I1" s="13" t="inlineStr">
        <is>
          <t>Score fornec.</t>
        </is>
      </c>
    </row>
    <row r="2">
      <c r="A2" s="23" t="inlineStr">
        <is>
          <t>Anthropic* Claude Sub</t>
        </is>
      </c>
      <c r="B2" s="24" t="n">
        <v>46222</v>
      </c>
      <c r="C2" s="25" t="n">
        <v>582.98</v>
      </c>
      <c r="D2" s="23" t="inlineStr">
        <is>
          <t>ANTHROPIC, PBC</t>
        </is>
      </c>
      <c r="E2" s="24" t="n">
        <v>46222</v>
      </c>
      <c r="F2" s="25" t="n">
        <v>585.98</v>
      </c>
      <c r="G2" s="25" t="n">
        <v>3</v>
      </c>
      <c r="H2" s="23" t="n">
        <v>0</v>
      </c>
      <c r="I2" s="23" t="n">
        <v>0.67</v>
      </c>
    </row>
    <row r="3">
      <c r="A3" s="23" t="inlineStr">
        <is>
          <t>Imigbeb*imigbebidas</t>
        </is>
      </c>
      <c r="B3" s="24" t="n">
        <v>46209</v>
      </c>
      <c r="C3" s="25" t="n">
        <v>337.86</v>
      </c>
      <c r="D3" s="23" t="inlineStr">
        <is>
          <t>IMIGRANTES BEBIDAS</t>
        </is>
      </c>
      <c r="E3" s="24" t="n">
        <v>46209</v>
      </c>
      <c r="F3" s="25" t="n">
        <v>337.68</v>
      </c>
      <c r="G3" s="25" t="n">
        <v>0.18</v>
      </c>
      <c r="H3" s="23" t="n">
        <v>0</v>
      </c>
      <c r="I3" s="23" t="n">
        <v>1</v>
      </c>
    </row>
    <row r="4">
      <c r="A4" s="23" t="inlineStr">
        <is>
          <t>Netfeira</t>
        </is>
      </c>
      <c r="B4" s="24" t="n">
        <v>46225</v>
      </c>
      <c r="C4" s="25" t="n">
        <v>315.17</v>
      </c>
      <c r="D4" s="23" t="inlineStr">
        <is>
          <t>NETFEIRA PONTO COM LTDA</t>
        </is>
      </c>
      <c r="E4" s="24" t="n">
        <v>46224</v>
      </c>
      <c r="F4" s="25" t="n">
        <v>315.75</v>
      </c>
      <c r="G4" s="25" t="n">
        <v>0.58</v>
      </c>
      <c r="H4" s="23" t="n">
        <v>1</v>
      </c>
      <c r="I4" s="23" t="n">
        <v>0.62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4" customWidth="1" min="5" max="5"/>
    <col width="42" customWidth="1" min="6" max="6"/>
  </cols>
  <sheetData>
    <row r="1">
      <c r="A1" s="13" t="inlineStr">
        <is>
          <t>Data</t>
        </is>
      </c>
      <c r="B1" s="13" t="inlineStr">
        <is>
          <t>Lancamento</t>
        </is>
      </c>
      <c r="C1" s="13" t="inlineStr">
        <is>
          <t>Parcelamento</t>
        </is>
      </c>
      <c r="D1" s="13" t="inlineStr">
        <is>
          <t>Valor R$</t>
        </is>
      </c>
      <c r="E1" s="13" t="inlineStr">
        <is>
          <t>Cartao</t>
        </is>
      </c>
      <c r="F1" s="13" t="inlineStr">
        <is>
          <t>Classificacao</t>
        </is>
      </c>
    </row>
    <row r="2">
      <c r="A2" s="26" t="n">
        <v>46234</v>
      </c>
      <c r="B2" s="27" t="inlineStr">
        <is>
          <t>Facebk *D94j7wzt32</t>
        </is>
      </c>
      <c r="C2" s="27" t="n"/>
      <c r="D2" s="28" t="n">
        <v>130</v>
      </c>
      <c r="E2" s="27" t="inlineStr">
        <is>
          <t>****9061</t>
        </is>
      </c>
      <c r="F2" s="27" t="inlineStr">
        <is>
          <t>Servico/app (sem DANFE)</t>
        </is>
      </c>
    </row>
    <row r="3">
      <c r="A3" s="26" t="n">
        <v>46234</v>
      </c>
      <c r="B3" s="27" t="inlineStr">
        <is>
          <t>Lalamove Tecnologia Br</t>
        </is>
      </c>
      <c r="C3" s="27" t="n"/>
      <c r="D3" s="28" t="n">
        <v>125</v>
      </c>
      <c r="E3" s="27" t="inlineStr">
        <is>
          <t>****9061</t>
        </is>
      </c>
      <c r="F3" s="27" t="inlineStr">
        <is>
          <t>Servico/app (sem DANFE)</t>
        </is>
      </c>
    </row>
    <row r="4">
      <c r="A4" s="26" t="n">
        <v>46234</v>
      </c>
      <c r="B4" s="27" t="inlineStr">
        <is>
          <t>99*</t>
        </is>
      </c>
      <c r="C4" s="27" t="n"/>
      <c r="D4" s="28" t="n">
        <v>92.90000000000001</v>
      </c>
      <c r="E4" s="27" t="inlineStr">
        <is>
          <t>****4280</t>
        </is>
      </c>
      <c r="F4" s="27" t="inlineStr">
        <is>
          <t>Servico/app (sem DANFE)</t>
        </is>
      </c>
    </row>
    <row r="5">
      <c r="A5" s="15" t="n">
        <v>46234</v>
      </c>
      <c r="B5" s="14" t="inlineStr">
        <is>
          <t>Schipper Cons</t>
        </is>
      </c>
      <c r="C5" s="14" t="inlineStr">
        <is>
          <t>Parcela 1 de 3</t>
        </is>
      </c>
      <c r="D5" s="16" t="n">
        <v>921.15</v>
      </c>
      <c r="E5" s="14" t="inlineStr">
        <is>
          <t>****9061</t>
        </is>
      </c>
      <c r="F5" s="14" t="inlineStr">
        <is>
          <t>Mercadoria - conferir NF-e</t>
        </is>
      </c>
    </row>
    <row r="6">
      <c r="A6" s="26" t="n">
        <v>46233</v>
      </c>
      <c r="B6" s="27" t="inlineStr">
        <is>
          <t>Google Ads2978776244</t>
        </is>
      </c>
      <c r="C6" s="27" t="n"/>
      <c r="D6" s="28" t="n">
        <v>2000</v>
      </c>
      <c r="E6" s="27" t="inlineStr">
        <is>
          <t>****9061</t>
        </is>
      </c>
      <c r="F6" s="27" t="inlineStr">
        <is>
          <t>Servico/app (sem DANFE)</t>
        </is>
      </c>
    </row>
    <row r="7">
      <c r="A7" s="26" t="n">
        <v>46233</v>
      </c>
      <c r="B7" s="27" t="inlineStr">
        <is>
          <t>Facebk *B89fsw5u32</t>
        </is>
      </c>
      <c r="C7" s="27" t="n"/>
      <c r="D7" s="28" t="n">
        <v>130</v>
      </c>
      <c r="E7" s="27" t="inlineStr">
        <is>
          <t>****9061</t>
        </is>
      </c>
      <c r="F7" s="27" t="inlineStr">
        <is>
          <t>Servico/app (sem DANFE)</t>
        </is>
      </c>
    </row>
    <row r="8">
      <c r="A8" s="26" t="n">
        <v>46232</v>
      </c>
      <c r="B8" s="27" t="inlineStr">
        <is>
          <t>Openai *Chatgpt Subscr</t>
        </is>
      </c>
      <c r="C8" s="27" t="n"/>
      <c r="D8" s="28" t="n">
        <v>108.6</v>
      </c>
      <c r="E8" s="27" t="inlineStr">
        <is>
          <t>****9061</t>
        </is>
      </c>
      <c r="F8" s="27" t="inlineStr">
        <is>
          <t>Servico/app (sem DANFE)</t>
        </is>
      </c>
    </row>
    <row r="9">
      <c r="A9" s="26" t="n">
        <v>46232</v>
      </c>
      <c r="B9" s="27" t="inlineStr">
        <is>
          <t>Facebk *Zb48eyru32</t>
        </is>
      </c>
      <c r="C9" s="27" t="n"/>
      <c r="D9" s="28" t="n">
        <v>130</v>
      </c>
      <c r="E9" s="27" t="inlineStr">
        <is>
          <t>****9061</t>
        </is>
      </c>
      <c r="F9" s="27" t="inlineStr">
        <is>
          <t>Servico/app (sem DANFE)</t>
        </is>
      </c>
    </row>
    <row r="10">
      <c r="A10" s="26" t="n">
        <v>46231</v>
      </c>
      <c r="B10" s="27" t="inlineStr">
        <is>
          <t>Facebk *Szgeayru32</t>
        </is>
      </c>
      <c r="C10" s="27" t="n"/>
      <c r="D10" s="28" t="n">
        <v>130</v>
      </c>
      <c r="E10" s="27" t="inlineStr">
        <is>
          <t>****9061</t>
        </is>
      </c>
      <c r="F10" s="27" t="inlineStr">
        <is>
          <t>Servico/app (sem DANFE)</t>
        </is>
      </c>
    </row>
    <row r="11">
      <c r="A11" s="26" t="n">
        <v>46230</v>
      </c>
      <c r="B11" s="27" t="inlineStr">
        <is>
          <t>Facebk *Fz7pqvzt32</t>
        </is>
      </c>
      <c r="C11" s="27" t="n"/>
      <c r="D11" s="28" t="n">
        <v>130</v>
      </c>
      <c r="E11" s="27" t="inlineStr">
        <is>
          <t>****9061</t>
        </is>
      </c>
      <c r="F11" s="27" t="inlineStr">
        <is>
          <t>Servico/app (sem DANFE)</t>
        </is>
      </c>
    </row>
    <row r="12">
      <c r="A12" s="26" t="n">
        <v>46229</v>
      </c>
      <c r="B12" s="27" t="inlineStr">
        <is>
          <t>Facebk *2fl9eydu32</t>
        </is>
      </c>
      <c r="C12" s="27" t="n"/>
      <c r="D12" s="28" t="n">
        <v>130</v>
      </c>
      <c r="E12" s="27" t="inlineStr">
        <is>
          <t>****9061</t>
        </is>
      </c>
      <c r="F12" s="27" t="inlineStr">
        <is>
          <t>Servico/app (sem DANFE)</t>
        </is>
      </c>
    </row>
    <row r="13">
      <c r="A13" s="26" t="n">
        <v>46229</v>
      </c>
      <c r="B13" s="27" t="inlineStr">
        <is>
          <t>Higgsfield Inc.</t>
        </is>
      </c>
      <c r="C13" s="27" t="n"/>
      <c r="D13" s="28" t="n">
        <v>274.51</v>
      </c>
      <c r="E13" s="27" t="inlineStr">
        <is>
          <t>****9061</t>
        </is>
      </c>
      <c r="F13" s="27" t="inlineStr">
        <is>
          <t>Servico/app (sem DANFE)</t>
        </is>
      </c>
    </row>
    <row r="14">
      <c r="A14" s="26" t="n">
        <v>46229</v>
      </c>
      <c r="B14" s="27" t="inlineStr">
        <is>
          <t>Ryze Ai</t>
        </is>
      </c>
      <c r="C14" s="27" t="n"/>
      <c r="D14" s="28" t="n">
        <v>56.01</v>
      </c>
      <c r="E14" s="27" t="inlineStr">
        <is>
          <t>****9061</t>
        </is>
      </c>
      <c r="F14" s="27" t="inlineStr">
        <is>
          <t>Servico/app (sem DANFE)</t>
        </is>
      </c>
    </row>
    <row r="15">
      <c r="A15" s="15" t="n">
        <v>46228</v>
      </c>
      <c r="B15" s="14" t="inlineStr">
        <is>
          <t>Sonda S*sonda1451154</t>
        </is>
      </c>
      <c r="C15" s="14" t="n"/>
      <c r="D15" s="16" t="n">
        <v>313.9</v>
      </c>
      <c r="E15" s="14" t="inlineStr">
        <is>
          <t>****9061</t>
        </is>
      </c>
      <c r="F15" s="14" t="inlineStr">
        <is>
          <t>Mercadoria - conferir NF-e</t>
        </is>
      </c>
    </row>
    <row r="16">
      <c r="A16" s="26" t="n">
        <v>46228</v>
      </c>
      <c r="B16" s="27" t="inlineStr">
        <is>
          <t>Google Ads2978776244</t>
        </is>
      </c>
      <c r="C16" s="27" t="n"/>
      <c r="D16" s="28" t="n">
        <v>2000</v>
      </c>
      <c r="E16" s="27" t="inlineStr">
        <is>
          <t>****9061</t>
        </is>
      </c>
      <c r="F16" s="27" t="inlineStr">
        <is>
          <t>Servico/app (sem DANFE)</t>
        </is>
      </c>
    </row>
    <row r="17">
      <c r="A17" s="26" t="n">
        <v>46228</v>
      </c>
      <c r="B17" s="27" t="inlineStr">
        <is>
          <t>Facebk *Xvndjvzt32</t>
        </is>
      </c>
      <c r="C17" s="27" t="n"/>
      <c r="D17" s="28" t="n">
        <v>130</v>
      </c>
      <c r="E17" s="27" t="inlineStr">
        <is>
          <t>****9061</t>
        </is>
      </c>
      <c r="F17" s="27" t="inlineStr">
        <is>
          <t>Servico/app (sem DANFE)</t>
        </is>
      </c>
    </row>
    <row r="18">
      <c r="A18" s="26" t="n">
        <v>46227</v>
      </c>
      <c r="B18" s="27" t="inlineStr">
        <is>
          <t>Facebk *Bqlkwwhu32</t>
        </is>
      </c>
      <c r="C18" s="27" t="n"/>
      <c r="D18" s="28" t="n">
        <v>130</v>
      </c>
      <c r="E18" s="27" t="inlineStr">
        <is>
          <t>****9061</t>
        </is>
      </c>
      <c r="F18" s="27" t="inlineStr">
        <is>
          <t>Servico/app (sem DANFE)</t>
        </is>
      </c>
    </row>
    <row r="19">
      <c r="A19" s="26" t="n">
        <v>46226</v>
      </c>
      <c r="B19" s="27" t="inlineStr">
        <is>
          <t>Facebk *X7gzavzt32</t>
        </is>
      </c>
      <c r="C19" s="27" t="n"/>
      <c r="D19" s="28" t="n">
        <v>130</v>
      </c>
      <c r="E19" s="27" t="inlineStr">
        <is>
          <t>****9061</t>
        </is>
      </c>
      <c r="F19" s="27" t="inlineStr">
        <is>
          <t>Servico/app (sem DANFE)</t>
        </is>
      </c>
    </row>
    <row r="20">
      <c r="A20" s="26" t="n">
        <v>46226</v>
      </c>
      <c r="B20" s="27" t="inlineStr">
        <is>
          <t>Uber Uber *Trip Help.u</t>
        </is>
      </c>
      <c r="C20" s="27" t="n"/>
      <c r="D20" s="28" t="n">
        <v>22.93</v>
      </c>
      <c r="E20" s="27" t="inlineStr">
        <is>
          <t>****4280</t>
        </is>
      </c>
      <c r="F20" s="27" t="inlineStr">
        <is>
          <t>Servico/app (sem DANFE)</t>
        </is>
      </c>
    </row>
    <row r="21">
      <c r="A21" s="15" t="n">
        <v>46225</v>
      </c>
      <c r="B21" s="14" t="inlineStr">
        <is>
          <t>La Terza</t>
        </is>
      </c>
      <c r="C21" s="14" t="n"/>
      <c r="D21" s="16" t="n">
        <v>107.06</v>
      </c>
      <c r="E21" s="14" t="inlineStr">
        <is>
          <t>****4280</t>
        </is>
      </c>
      <c r="F21" s="14" t="inlineStr">
        <is>
          <t>Mercadoria - conferir NF-e</t>
        </is>
      </c>
    </row>
    <row r="22">
      <c r="A22" s="26" t="n">
        <v>46225</v>
      </c>
      <c r="B22" s="27" t="inlineStr">
        <is>
          <t>Facebk *3mv5jvvt32</t>
        </is>
      </c>
      <c r="C22" s="27" t="n"/>
      <c r="D22" s="28" t="n">
        <v>130</v>
      </c>
      <c r="E22" s="27" t="inlineStr">
        <is>
          <t>****9061</t>
        </is>
      </c>
      <c r="F22" s="27" t="inlineStr">
        <is>
          <t>Servico/app (sem DANFE)</t>
        </is>
      </c>
    </row>
    <row r="23">
      <c r="A23" s="26" t="n">
        <v>46224</v>
      </c>
      <c r="B23" s="27" t="inlineStr">
        <is>
          <t>Facebk *Wban3wvu32</t>
        </is>
      </c>
      <c r="C23" s="27" t="n"/>
      <c r="D23" s="28" t="n">
        <v>130</v>
      </c>
      <c r="E23" s="27" t="inlineStr">
        <is>
          <t>****9061</t>
        </is>
      </c>
      <c r="F23" s="27" t="inlineStr">
        <is>
          <t>Servico/app (sem DANFE)</t>
        </is>
      </c>
    </row>
    <row r="24">
      <c r="A24" s="15" t="n">
        <v>46224</v>
      </c>
      <c r="B24" s="14" t="inlineStr">
        <is>
          <t>Nuv*etiqueteifood</t>
        </is>
      </c>
      <c r="C24" s="14" t="n"/>
      <c r="D24" s="16" t="n">
        <v>506</v>
      </c>
      <c r="E24" s="14" t="inlineStr">
        <is>
          <t>****9061</t>
        </is>
      </c>
      <c r="F24" s="14" t="inlineStr">
        <is>
          <t>Mercadoria - conferir NF-e</t>
        </is>
      </c>
    </row>
    <row r="25">
      <c r="A25" s="26" t="n">
        <v>46224</v>
      </c>
      <c r="B25" s="27" t="inlineStr">
        <is>
          <t>Google Ads2978776244</t>
        </is>
      </c>
      <c r="C25" s="27" t="n"/>
      <c r="D25" s="28" t="n">
        <v>2000</v>
      </c>
      <c r="E25" s="27" t="inlineStr">
        <is>
          <t>****9061</t>
        </is>
      </c>
      <c r="F25" s="27" t="inlineStr">
        <is>
          <t>Servico/app (sem DANFE)</t>
        </is>
      </c>
    </row>
    <row r="26">
      <c r="A26" s="26" t="n">
        <v>46223</v>
      </c>
      <c r="B26" s="27" t="inlineStr">
        <is>
          <t>Setti Soluco*comemorea</t>
        </is>
      </c>
      <c r="C26" s="27" t="n"/>
      <c r="D26" s="28" t="n">
        <v>49</v>
      </c>
      <c r="E26" s="27" t="inlineStr">
        <is>
          <t>****9061</t>
        </is>
      </c>
      <c r="F26" s="27" t="inlineStr">
        <is>
          <t>Servico/app (sem DANFE)</t>
        </is>
      </c>
    </row>
    <row r="27">
      <c r="A27" s="26" t="n">
        <v>46223</v>
      </c>
      <c r="B27" s="27" t="inlineStr">
        <is>
          <t>Facebk *Rr5fdxru32</t>
        </is>
      </c>
      <c r="C27" s="27" t="n"/>
      <c r="D27" s="28" t="n">
        <v>130</v>
      </c>
      <c r="E27" s="27" t="inlineStr">
        <is>
          <t>****9061</t>
        </is>
      </c>
      <c r="F27" s="27" t="inlineStr">
        <is>
          <t>Servico/app (sem DANFE)</t>
        </is>
      </c>
    </row>
    <row r="28">
      <c r="A28" s="26" t="n">
        <v>46222</v>
      </c>
      <c r="B28" s="27" t="inlineStr">
        <is>
          <t>Anthropic* Claude Sub</t>
        </is>
      </c>
      <c r="C28" s="27" t="n"/>
      <c r="D28" s="28" t="n">
        <v>582.98</v>
      </c>
      <c r="E28" s="27" t="inlineStr">
        <is>
          <t>****9061</t>
        </is>
      </c>
      <c r="F28" s="27" t="inlineStr">
        <is>
          <t>Servico/app (sem DANFE)</t>
        </is>
      </c>
    </row>
    <row r="29">
      <c r="A29" s="26" t="n">
        <v>46222</v>
      </c>
      <c r="B29" s="27" t="inlineStr">
        <is>
          <t>Facebk *Wthunu9u32</t>
        </is>
      </c>
      <c r="C29" s="27" t="n"/>
      <c r="D29" s="28" t="n">
        <v>130</v>
      </c>
      <c r="E29" s="27" t="inlineStr">
        <is>
          <t>****9061</t>
        </is>
      </c>
      <c r="F29" s="27" t="inlineStr">
        <is>
          <t>Servico/app (sem DANFE)</t>
        </is>
      </c>
    </row>
    <row r="30">
      <c r="A30" s="26" t="n">
        <v>46222</v>
      </c>
      <c r="B30" s="27" t="inlineStr">
        <is>
          <t>Ryze Ai</t>
        </is>
      </c>
      <c r="C30" s="27" t="n"/>
      <c r="D30" s="28" t="n">
        <v>56.37</v>
      </c>
      <c r="E30" s="27" t="inlineStr">
        <is>
          <t>****9061</t>
        </is>
      </c>
      <c r="F30" s="27" t="inlineStr">
        <is>
          <t>Servico/app (sem DANFE)</t>
        </is>
      </c>
    </row>
    <row r="31">
      <c r="A31" s="26" t="n">
        <v>46221</v>
      </c>
      <c r="B31" s="27" t="inlineStr">
        <is>
          <t>Facebk *V3s6ku9u32</t>
        </is>
      </c>
      <c r="C31" s="27" t="n"/>
      <c r="D31" s="28" t="n">
        <v>130</v>
      </c>
      <c r="E31" s="27" t="inlineStr">
        <is>
          <t>****9061</t>
        </is>
      </c>
      <c r="F31" s="27" t="inlineStr">
        <is>
          <t>Servico/app (sem DANFE)</t>
        </is>
      </c>
    </row>
    <row r="32">
      <c r="A32" s="26" t="n">
        <v>46220</v>
      </c>
      <c r="B32" s="27" t="inlineStr">
        <is>
          <t>Google Ads2978776244</t>
        </is>
      </c>
      <c r="C32" s="27" t="n"/>
      <c r="D32" s="28" t="n">
        <v>2000</v>
      </c>
      <c r="E32" s="27" t="inlineStr">
        <is>
          <t>****9061</t>
        </is>
      </c>
      <c r="F32" s="27" t="inlineStr">
        <is>
          <t>Servico/app (sem DANFE)</t>
        </is>
      </c>
    </row>
    <row r="33">
      <c r="A33" s="26" t="n">
        <v>46220</v>
      </c>
      <c r="B33" s="27" t="inlineStr">
        <is>
          <t>Facebk *X6atmuzt32</t>
        </is>
      </c>
      <c r="C33" s="27" t="n"/>
      <c r="D33" s="28" t="n">
        <v>130</v>
      </c>
      <c r="E33" s="27" t="inlineStr">
        <is>
          <t>****9061</t>
        </is>
      </c>
      <c r="F33" s="27" t="inlineStr">
        <is>
          <t>Servico/app (sem DANFE)</t>
        </is>
      </c>
    </row>
    <row r="34">
      <c r="A34" s="26" t="n">
        <v>46219</v>
      </c>
      <c r="B34" s="27" t="inlineStr">
        <is>
          <t>Mercado*mercadolivre</t>
        </is>
      </c>
      <c r="C34" s="27" t="n"/>
      <c r="D34" s="28" t="n">
        <v>1.76</v>
      </c>
      <c r="E34" s="27" t="inlineStr">
        <is>
          <t>****9061</t>
        </is>
      </c>
      <c r="F34" s="27" t="inlineStr">
        <is>
          <t>Servico/app (sem DANFE)</t>
        </is>
      </c>
    </row>
    <row r="35">
      <c r="A35" s="26" t="n">
        <v>46219</v>
      </c>
      <c r="B35" s="27" t="inlineStr">
        <is>
          <t>Facebk *89bvxwru32</t>
        </is>
      </c>
      <c r="C35" s="27" t="n"/>
      <c r="D35" s="28" t="n">
        <v>130</v>
      </c>
      <c r="E35" s="27" t="inlineStr">
        <is>
          <t>****9061</t>
        </is>
      </c>
      <c r="F35" s="27" t="inlineStr">
        <is>
          <t>Servico/app (sem DANFE)</t>
        </is>
      </c>
    </row>
    <row r="36">
      <c r="A36" s="26" t="n">
        <v>46219</v>
      </c>
      <c r="B36" s="27" t="inlineStr">
        <is>
          <t>Mercadolivre*utilityco</t>
        </is>
      </c>
      <c r="C36" s="27" t="n"/>
      <c r="D36" s="28" t="n">
        <v>42.29</v>
      </c>
      <c r="E36" s="27" t="inlineStr">
        <is>
          <t>****9061</t>
        </is>
      </c>
      <c r="F36" s="27" t="inlineStr">
        <is>
          <t>Servico/app (sem DANFE)</t>
        </is>
      </c>
    </row>
    <row r="37">
      <c r="A37" s="15" t="n">
        <v>46219</v>
      </c>
      <c r="B37" s="14" t="inlineStr">
        <is>
          <t>Mp *Tiagohenriquealves</t>
        </is>
      </c>
      <c r="C37" s="14" t="n"/>
      <c r="D37" s="16" t="n">
        <v>21</v>
      </c>
      <c r="E37" s="14" t="inlineStr">
        <is>
          <t>****4280</t>
        </is>
      </c>
      <c r="F37" s="14" t="inlineStr">
        <is>
          <t>Mercadoria - conferir NF-e</t>
        </is>
      </c>
    </row>
    <row r="38">
      <c r="A38" s="26" t="n">
        <v>46219</v>
      </c>
      <c r="B38" s="27" t="inlineStr">
        <is>
          <t>Ebn*canva0494</t>
        </is>
      </c>
      <c r="C38" s="27" t="n"/>
      <c r="D38" s="28" t="n">
        <v>34.9</v>
      </c>
      <c r="E38" s="27" t="inlineStr">
        <is>
          <t>****9061</t>
        </is>
      </c>
      <c r="F38" s="27" t="inlineStr">
        <is>
          <t>Servico/app (sem DANFE)</t>
        </is>
      </c>
    </row>
    <row r="39">
      <c r="A39" s="26" t="n">
        <v>46219</v>
      </c>
      <c r="B39" s="27" t="inlineStr">
        <is>
          <t>Mercadolivre*wwwcasace</t>
        </is>
      </c>
      <c r="C39" s="27" t="n"/>
      <c r="D39" s="28" t="n">
        <v>419.94</v>
      </c>
      <c r="E39" s="27" t="inlineStr">
        <is>
          <t>****9061</t>
        </is>
      </c>
      <c r="F39" s="27" t="inlineStr">
        <is>
          <t>Servico/app (sem DANFE)</t>
        </is>
      </c>
    </row>
    <row r="40">
      <c r="A40" s="26" t="n">
        <v>46218</v>
      </c>
      <c r="B40" s="27" t="inlineStr">
        <is>
          <t>Facebk *95zw8u9u32</t>
        </is>
      </c>
      <c r="C40" s="27" t="n"/>
      <c r="D40" s="28" t="n">
        <v>130</v>
      </c>
      <c r="E40" s="27" t="inlineStr">
        <is>
          <t>****9061</t>
        </is>
      </c>
      <c r="F40" s="27" t="inlineStr">
        <is>
          <t>Servico/app (sem DANFE)</t>
        </is>
      </c>
    </row>
    <row r="41">
      <c r="A41" s="21" t="n">
        <v>46218</v>
      </c>
      <c r="B41" s="20" t="inlineStr">
        <is>
          <t>Auto Posto Status Do M</t>
        </is>
      </c>
      <c r="C41" s="20" t="n"/>
      <c r="D41" s="22" t="n">
        <v>244.1</v>
      </c>
      <c r="E41" s="20" t="inlineStr">
        <is>
          <t>****4280</t>
        </is>
      </c>
      <c r="F41" s="20" t="inlineStr">
        <is>
          <t>Combustivel/estac (cupom)</t>
        </is>
      </c>
    </row>
    <row r="42">
      <c r="A42" s="26" t="n">
        <v>46216</v>
      </c>
      <c r="B42" s="27" t="inlineStr">
        <is>
          <t>Anthropic</t>
        </is>
      </c>
      <c r="C42" s="27" t="n"/>
      <c r="D42" s="28" t="n">
        <v>54.2</v>
      </c>
      <c r="E42" s="27" t="inlineStr">
        <is>
          <t>****9061</t>
        </is>
      </c>
      <c r="F42" s="27" t="inlineStr">
        <is>
          <t>Servico/app (sem DANFE)</t>
        </is>
      </c>
    </row>
    <row r="43">
      <c r="A43" s="26" t="n">
        <v>46216</v>
      </c>
      <c r="B43" s="27" t="inlineStr">
        <is>
          <t>Facebk *Qcvwwu5u32</t>
        </is>
      </c>
      <c r="C43" s="27" t="n"/>
      <c r="D43" s="28" t="n">
        <v>130</v>
      </c>
      <c r="E43" s="27" t="inlineStr">
        <is>
          <t>****9061</t>
        </is>
      </c>
      <c r="F43" s="27" t="inlineStr">
        <is>
          <t>Servico/app (sem DANFE)</t>
        </is>
      </c>
    </row>
    <row r="44">
      <c r="A44" s="26" t="n">
        <v>46216</v>
      </c>
      <c r="B44" s="27" t="inlineStr">
        <is>
          <t>Anthropic</t>
        </is>
      </c>
      <c r="C44" s="27" t="n"/>
      <c r="D44" s="28" t="n">
        <v>81.3</v>
      </c>
      <c r="E44" s="27" t="inlineStr">
        <is>
          <t>****9061</t>
        </is>
      </c>
      <c r="F44" s="27" t="inlineStr">
        <is>
          <t>Servico/app (sem DANFE)</t>
        </is>
      </c>
    </row>
    <row r="45">
      <c r="A45" s="26" t="n">
        <v>46216</v>
      </c>
      <c r="B45" s="27" t="inlineStr">
        <is>
          <t>Anthropic</t>
        </is>
      </c>
      <c r="C45" s="27" t="n"/>
      <c r="D45" s="28" t="n">
        <v>542</v>
      </c>
      <c r="E45" s="27" t="inlineStr">
        <is>
          <t>****9061</t>
        </is>
      </c>
      <c r="F45" s="27" t="inlineStr">
        <is>
          <t>Servico/app (sem DANFE)</t>
        </is>
      </c>
    </row>
    <row r="46">
      <c r="A46" s="26" t="n">
        <v>46216</v>
      </c>
      <c r="B46" s="27" t="inlineStr">
        <is>
          <t>Anthropic</t>
        </is>
      </c>
      <c r="C46" s="27" t="n"/>
      <c r="D46" s="28" t="n">
        <v>542</v>
      </c>
      <c r="E46" s="27" t="inlineStr">
        <is>
          <t>****9061</t>
        </is>
      </c>
      <c r="F46" s="27" t="inlineStr">
        <is>
          <t>Servico/app (sem DANFE)</t>
        </is>
      </c>
    </row>
    <row r="47">
      <c r="A47" s="26" t="n">
        <v>46216</v>
      </c>
      <c r="B47" s="27" t="inlineStr">
        <is>
          <t>Anthropic</t>
        </is>
      </c>
      <c r="C47" s="27" t="n"/>
      <c r="D47" s="28" t="n">
        <v>542</v>
      </c>
      <c r="E47" s="27" t="inlineStr">
        <is>
          <t>****9061</t>
        </is>
      </c>
      <c r="F47" s="27" t="inlineStr">
        <is>
          <t>Servico/app (sem DANFE)</t>
        </is>
      </c>
    </row>
    <row r="48">
      <c r="A48" s="26" t="n">
        <v>46216</v>
      </c>
      <c r="B48" s="27" t="inlineStr">
        <is>
          <t>Anthropic</t>
        </is>
      </c>
      <c r="C48" s="27" t="n"/>
      <c r="D48" s="28" t="n">
        <v>542</v>
      </c>
      <c r="E48" s="27" t="inlineStr">
        <is>
          <t>****9061</t>
        </is>
      </c>
      <c r="F48" s="27" t="inlineStr">
        <is>
          <t>Servico/app (sem DANFE)</t>
        </is>
      </c>
    </row>
    <row r="49">
      <c r="A49" s="26" t="n">
        <v>46216</v>
      </c>
      <c r="B49" s="27" t="inlineStr">
        <is>
          <t>Anthropic</t>
        </is>
      </c>
      <c r="C49" s="27" t="n"/>
      <c r="D49" s="28" t="n">
        <v>542</v>
      </c>
      <c r="E49" s="27" t="inlineStr">
        <is>
          <t>****9061</t>
        </is>
      </c>
      <c r="F49" s="27" t="inlineStr">
        <is>
          <t>Servico/app (sem DANFE)</t>
        </is>
      </c>
    </row>
    <row r="50">
      <c r="A50" s="26" t="n">
        <v>46216</v>
      </c>
      <c r="B50" s="27" t="inlineStr">
        <is>
          <t>Anthropic</t>
        </is>
      </c>
      <c r="C50" s="27" t="n"/>
      <c r="D50" s="28" t="n">
        <v>460.7</v>
      </c>
      <c r="E50" s="27" t="inlineStr">
        <is>
          <t>****9061</t>
        </is>
      </c>
      <c r="F50" s="27" t="inlineStr">
        <is>
          <t>Servico/app (sem DANFE)</t>
        </is>
      </c>
    </row>
    <row r="51">
      <c r="A51" s="26" t="n">
        <v>46215</v>
      </c>
      <c r="B51" s="27" t="inlineStr">
        <is>
          <t>Facebk *52mc5vvu32</t>
        </is>
      </c>
      <c r="C51" s="27" t="n"/>
      <c r="D51" s="28" t="n">
        <v>130</v>
      </c>
      <c r="E51" s="27" t="inlineStr">
        <is>
          <t>****9061</t>
        </is>
      </c>
      <c r="F51" s="27" t="inlineStr">
        <is>
          <t>Servico/app (sem DANFE)</t>
        </is>
      </c>
    </row>
    <row r="52">
      <c r="A52" s="26" t="n">
        <v>46215</v>
      </c>
      <c r="B52" s="27" t="inlineStr">
        <is>
          <t>Ryze Ai</t>
        </is>
      </c>
      <c r="C52" s="27" t="n"/>
      <c r="D52" s="28" t="n">
        <v>56.21</v>
      </c>
      <c r="E52" s="27" t="inlineStr">
        <is>
          <t>****9061</t>
        </is>
      </c>
      <c r="F52" s="27" t="inlineStr">
        <is>
          <t>Servico/app (sem DANFE)</t>
        </is>
      </c>
    </row>
    <row r="53">
      <c r="A53" s="26" t="n">
        <v>46214</v>
      </c>
      <c r="B53" s="27" t="inlineStr">
        <is>
          <t>Facebk *Pnfpqu5u32</t>
        </is>
      </c>
      <c r="C53" s="27" t="n"/>
      <c r="D53" s="28" t="n">
        <v>130</v>
      </c>
      <c r="E53" s="27" t="inlineStr">
        <is>
          <t>****9061</t>
        </is>
      </c>
      <c r="F53" s="27" t="inlineStr">
        <is>
          <t>Servico/app (sem DANFE)</t>
        </is>
      </c>
    </row>
    <row r="54">
      <c r="A54" s="26" t="n">
        <v>46214</v>
      </c>
      <c r="B54" s="27" t="inlineStr">
        <is>
          <t>Google Ads2978776244</t>
        </is>
      </c>
      <c r="C54" s="27" t="n"/>
      <c r="D54" s="28" t="n">
        <v>2000</v>
      </c>
      <c r="E54" s="27" t="inlineStr">
        <is>
          <t>****9061</t>
        </is>
      </c>
      <c r="F54" s="27" t="inlineStr">
        <is>
          <t>Servico/app (sem DANFE)</t>
        </is>
      </c>
    </row>
    <row r="55">
      <c r="A55" s="26" t="n">
        <v>46213</v>
      </c>
      <c r="B55" s="27" t="inlineStr">
        <is>
          <t>Facebk *7xagmu5u32</t>
        </is>
      </c>
      <c r="C55" s="27" t="n"/>
      <c r="D55" s="28" t="n">
        <v>130</v>
      </c>
      <c r="E55" s="27" t="inlineStr">
        <is>
          <t>****9061</t>
        </is>
      </c>
      <c r="F55" s="27" t="inlineStr">
        <is>
          <t>Servico/app (sem DANFE)</t>
        </is>
      </c>
    </row>
    <row r="56">
      <c r="A56" s="26" t="n">
        <v>46212</v>
      </c>
      <c r="B56" s="27" t="inlineStr">
        <is>
          <t>Facebk *8gdtkwdu32</t>
        </is>
      </c>
      <c r="C56" s="27" t="n"/>
      <c r="D56" s="28" t="n">
        <v>130</v>
      </c>
      <c r="E56" s="27" t="inlineStr">
        <is>
          <t>****9061</t>
        </is>
      </c>
      <c r="F56" s="27" t="inlineStr">
        <is>
          <t>Servico/app (sem DANFE)</t>
        </is>
      </c>
    </row>
    <row r="57">
      <c r="A57" s="26" t="n">
        <v>46211</v>
      </c>
      <c r="B57" s="27" t="inlineStr">
        <is>
          <t>Anthropic</t>
        </is>
      </c>
      <c r="C57" s="27" t="n"/>
      <c r="D57" s="28" t="n">
        <v>109.4</v>
      </c>
      <c r="E57" s="27" t="inlineStr">
        <is>
          <t>****9061</t>
        </is>
      </c>
      <c r="F57" s="27" t="inlineStr">
        <is>
          <t>Servico/app (sem DANFE)</t>
        </is>
      </c>
    </row>
    <row r="58">
      <c r="A58" s="26" t="n">
        <v>46211</v>
      </c>
      <c r="B58" s="27" t="inlineStr">
        <is>
          <t>Anthropic</t>
        </is>
      </c>
      <c r="C58" s="27" t="n"/>
      <c r="D58" s="28" t="n">
        <v>136.75</v>
      </c>
      <c r="E58" s="27" t="inlineStr">
        <is>
          <t>****9061</t>
        </is>
      </c>
      <c r="F58" s="27" t="inlineStr">
        <is>
          <t>Servico/app (sem DANFE)</t>
        </is>
      </c>
    </row>
    <row r="59">
      <c r="A59" s="26" t="n">
        <v>46211</v>
      </c>
      <c r="B59" s="27" t="inlineStr">
        <is>
          <t>Anthropic</t>
        </is>
      </c>
      <c r="C59" s="27" t="n"/>
      <c r="D59" s="28" t="n">
        <v>245.22</v>
      </c>
      <c r="E59" s="27" t="inlineStr">
        <is>
          <t>****9061</t>
        </is>
      </c>
      <c r="F59" s="27" t="inlineStr">
        <is>
          <t>Servico/app (sem DANFE)</t>
        </is>
      </c>
    </row>
    <row r="60">
      <c r="A60" s="26" t="n">
        <v>46211</v>
      </c>
      <c r="B60" s="27" t="inlineStr">
        <is>
          <t>Facebk *Lcxkqtzt32</t>
        </is>
      </c>
      <c r="C60" s="27" t="n"/>
      <c r="D60" s="28" t="n">
        <v>130</v>
      </c>
      <c r="E60" s="27" t="inlineStr">
        <is>
          <t>****9061</t>
        </is>
      </c>
      <c r="F60" s="27" t="inlineStr">
        <is>
          <t>Servico/app (sem DANFE)</t>
        </is>
      </c>
    </row>
    <row r="61">
      <c r="A61" s="26" t="n">
        <v>46210</v>
      </c>
      <c r="B61" s="27" t="inlineStr">
        <is>
          <t>Facebk *Sveadwdu32</t>
        </is>
      </c>
      <c r="C61" s="27" t="n"/>
      <c r="D61" s="28" t="n">
        <v>130</v>
      </c>
      <c r="E61" s="27" t="inlineStr">
        <is>
          <t>****9061</t>
        </is>
      </c>
      <c r="F61" s="27" t="inlineStr">
        <is>
          <t>Servico/app (sem DANFE)</t>
        </is>
      </c>
    </row>
    <row r="62">
      <c r="A62" s="26" t="n">
        <v>46210</v>
      </c>
      <c r="B62" s="27" t="inlineStr">
        <is>
          <t>Dm*spotify</t>
        </is>
      </c>
      <c r="C62" s="27" t="n"/>
      <c r="D62" s="28" t="n">
        <v>40.9</v>
      </c>
      <c r="E62" s="27" t="inlineStr">
        <is>
          <t>****9061</t>
        </is>
      </c>
      <c r="F62" s="27" t="inlineStr">
        <is>
          <t>Servico/app (sem DANFE)</t>
        </is>
      </c>
    </row>
    <row r="63">
      <c r="A63" s="26" t="n">
        <v>46209</v>
      </c>
      <c r="B63" s="27" t="inlineStr">
        <is>
          <t>Facebk *Q32vhtzt32</t>
        </is>
      </c>
      <c r="C63" s="27" t="n"/>
      <c r="D63" s="28" t="n">
        <v>130</v>
      </c>
      <c r="E63" s="27" t="inlineStr">
        <is>
          <t>****9061</t>
        </is>
      </c>
      <c r="F63" s="27" t="inlineStr">
        <is>
          <t>Servico/app (sem DANFE)</t>
        </is>
      </c>
    </row>
    <row r="64">
      <c r="A64" s="26" t="n">
        <v>46209</v>
      </c>
      <c r="B64" s="27" t="inlineStr">
        <is>
          <t>Anthropic</t>
        </is>
      </c>
      <c r="C64" s="27" t="n"/>
      <c r="D64" s="28" t="n">
        <v>109.6</v>
      </c>
      <c r="E64" s="27" t="inlineStr">
        <is>
          <t>****9061</t>
        </is>
      </c>
      <c r="F64" s="27" t="inlineStr">
        <is>
          <t>Servico/app (sem DANFE)</t>
        </is>
      </c>
    </row>
    <row r="65">
      <c r="A65" s="26" t="n">
        <v>46209</v>
      </c>
      <c r="B65" s="27" t="inlineStr">
        <is>
          <t>Anthropic</t>
        </is>
      </c>
      <c r="C65" s="27" t="n"/>
      <c r="D65" s="28" t="n">
        <v>109.6</v>
      </c>
      <c r="E65" s="27" t="inlineStr">
        <is>
          <t>****9061</t>
        </is>
      </c>
      <c r="F65" s="27" t="inlineStr">
        <is>
          <t>Servico/app (sem DANFE)</t>
        </is>
      </c>
    </row>
    <row r="66">
      <c r="A66" s="26" t="n">
        <v>46208</v>
      </c>
      <c r="B66" s="27" t="inlineStr">
        <is>
          <t>Anthropic</t>
        </is>
      </c>
      <c r="C66" s="27" t="n"/>
      <c r="D66" s="28" t="n">
        <v>110</v>
      </c>
      <c r="E66" s="27" t="inlineStr">
        <is>
          <t>****9061</t>
        </is>
      </c>
      <c r="F66" s="27" t="inlineStr">
        <is>
          <t>Servico/app (sem DANFE)</t>
        </is>
      </c>
    </row>
    <row r="67">
      <c r="A67" s="26" t="n">
        <v>46208</v>
      </c>
      <c r="B67" s="27" t="inlineStr">
        <is>
          <t>Ryze Ai</t>
        </is>
      </c>
      <c r="C67" s="27" t="n"/>
      <c r="D67" s="28" t="n">
        <v>56.93</v>
      </c>
      <c r="E67" s="27" t="inlineStr">
        <is>
          <t>****9061</t>
        </is>
      </c>
      <c r="F67" s="27" t="inlineStr">
        <is>
          <t>Servico/app (sem DANFE)</t>
        </is>
      </c>
    </row>
    <row r="68">
      <c r="A68" s="26" t="n">
        <v>46208</v>
      </c>
      <c r="B68" s="27" t="inlineStr">
        <is>
          <t>Anthropic</t>
        </is>
      </c>
      <c r="C68" s="27" t="n"/>
      <c r="D68" s="28" t="n">
        <v>110</v>
      </c>
      <c r="E68" s="27" t="inlineStr">
        <is>
          <t>****9061</t>
        </is>
      </c>
      <c r="F68" s="27" t="inlineStr">
        <is>
          <t>Servico/app (sem DANFE)</t>
        </is>
      </c>
    </row>
    <row r="69">
      <c r="A69" s="26" t="n">
        <v>46208</v>
      </c>
      <c r="B69" s="27" t="inlineStr">
        <is>
          <t>Facebk *Lxn35u5u32</t>
        </is>
      </c>
      <c r="C69" s="27" t="n"/>
      <c r="D69" s="28" t="n">
        <v>130</v>
      </c>
      <c r="E69" s="27" t="inlineStr">
        <is>
          <t>****9061</t>
        </is>
      </c>
      <c r="F69" s="27" t="inlineStr">
        <is>
          <t>Servico/app (sem DANFE)</t>
        </is>
      </c>
    </row>
    <row r="70">
      <c r="A70" s="26" t="n">
        <v>46208</v>
      </c>
      <c r="B70" s="27" t="inlineStr">
        <is>
          <t>Ryze Ai</t>
        </is>
      </c>
      <c r="C70" s="27" t="n"/>
      <c r="D70" s="28" t="n">
        <v>3.96</v>
      </c>
      <c r="E70" s="27" t="inlineStr">
        <is>
          <t>****9061</t>
        </is>
      </c>
      <c r="F70" s="27" t="inlineStr">
        <is>
          <t>Servico/app (sem DANFE)</t>
        </is>
      </c>
    </row>
    <row r="71">
      <c r="A71" s="26" t="n">
        <v>46208</v>
      </c>
      <c r="B71" s="27" t="inlineStr">
        <is>
          <t>Anthropic</t>
        </is>
      </c>
      <c r="C71" s="27" t="n"/>
      <c r="D71" s="28" t="n">
        <v>110</v>
      </c>
      <c r="E71" s="27" t="inlineStr">
        <is>
          <t>****9061</t>
        </is>
      </c>
      <c r="F71" s="27" t="inlineStr">
        <is>
          <t>Servico/app (sem DANFE)</t>
        </is>
      </c>
    </row>
    <row r="72">
      <c r="A72" s="26" t="n">
        <v>46207</v>
      </c>
      <c r="B72" s="27" t="inlineStr">
        <is>
          <t>Ryze Ai</t>
        </is>
      </c>
      <c r="C72" s="27" t="n"/>
      <c r="D72" s="28" t="n">
        <v>19.31</v>
      </c>
      <c r="E72" s="27" t="inlineStr">
        <is>
          <t>****9061</t>
        </is>
      </c>
      <c r="F72" s="27" t="inlineStr">
        <is>
          <t>Servico/app (sem DANFE)</t>
        </is>
      </c>
    </row>
    <row r="73">
      <c r="A73" s="26" t="n">
        <v>46207</v>
      </c>
      <c r="B73" s="27" t="inlineStr">
        <is>
          <t>Facebk *26gtmtvt32</t>
        </is>
      </c>
      <c r="C73" s="27" t="n"/>
      <c r="D73" s="28" t="n">
        <v>130</v>
      </c>
      <c r="E73" s="27" t="inlineStr">
        <is>
          <t>****9061</t>
        </is>
      </c>
      <c r="F73" s="27" t="inlineStr">
        <is>
          <t>Servico/app (sem DANFE)</t>
        </is>
      </c>
    </row>
    <row r="74">
      <c r="A74" s="26" t="n">
        <v>46207</v>
      </c>
      <c r="B74" s="27" t="inlineStr">
        <is>
          <t>Dm*tripadvisor</t>
        </is>
      </c>
      <c r="C74" s="27" t="n"/>
      <c r="D74" s="28" t="n">
        <v>379.47</v>
      </c>
      <c r="E74" s="27" t="inlineStr">
        <is>
          <t>****9061</t>
        </is>
      </c>
      <c r="F74" s="27" t="inlineStr">
        <is>
          <t>Servico/app (sem DANFE)</t>
        </is>
      </c>
    </row>
    <row r="75">
      <c r="A75" s="26" t="n">
        <v>46206</v>
      </c>
      <c r="B75" s="27" t="inlineStr">
        <is>
          <t>Ryze Ai</t>
        </is>
      </c>
      <c r="C75" s="27" t="n"/>
      <c r="D75" s="28" t="n">
        <v>10.51</v>
      </c>
      <c r="E75" s="27" t="inlineStr">
        <is>
          <t>****9061</t>
        </is>
      </c>
      <c r="F75" s="27" t="inlineStr">
        <is>
          <t>Servico/app (sem DANFE)</t>
        </is>
      </c>
    </row>
    <row r="76">
      <c r="A76" s="26" t="n">
        <v>46206</v>
      </c>
      <c r="B76" s="27" t="inlineStr">
        <is>
          <t>Facebk *F5rfxvdu32</t>
        </is>
      </c>
      <c r="C76" s="27" t="n"/>
      <c r="D76" s="28" t="n">
        <v>130</v>
      </c>
      <c r="E76" s="27" t="inlineStr">
        <is>
          <t>****9061</t>
        </is>
      </c>
      <c r="F76" s="27" t="inlineStr">
        <is>
          <t>Servico/app (sem DANFE)</t>
        </is>
      </c>
    </row>
    <row r="77">
      <c r="A77" s="15" t="n">
        <v>46206</v>
      </c>
      <c r="B77" s="14" t="inlineStr">
        <is>
          <t>Banca Do Ramon</t>
        </is>
      </c>
      <c r="C77" s="14" t="n"/>
      <c r="D77" s="16" t="n">
        <v>79.90000000000001</v>
      </c>
      <c r="E77" s="14" t="inlineStr">
        <is>
          <t>****9061</t>
        </is>
      </c>
      <c r="F77" s="14" t="inlineStr">
        <is>
          <t>Mercadoria - conferir NF-e</t>
        </is>
      </c>
    </row>
    <row r="78">
      <c r="A78" s="26" t="n">
        <v>46205</v>
      </c>
      <c r="B78" s="27" t="inlineStr">
        <is>
          <t>Facebk *6hnqdsmu32</t>
        </is>
      </c>
      <c r="C78" s="27" t="n"/>
      <c r="D78" s="28" t="n">
        <v>130</v>
      </c>
      <c r="E78" s="27" t="inlineStr">
        <is>
          <t>****9061</t>
        </is>
      </c>
      <c r="F78" s="27" t="inlineStr">
        <is>
          <t>Servico/app (sem DANFE)</t>
        </is>
      </c>
    </row>
    <row r="79">
      <c r="A79" s="26" t="n">
        <v>46205</v>
      </c>
      <c r="B79" s="27" t="inlineStr">
        <is>
          <t>Lalamove Tecnologia Br</t>
        </is>
      </c>
      <c r="C79" s="27" t="n"/>
      <c r="D79" s="28" t="n">
        <v>125</v>
      </c>
      <c r="E79" s="27" t="inlineStr">
        <is>
          <t>****9061</t>
        </is>
      </c>
      <c r="F79" s="27" t="inlineStr">
        <is>
          <t>Servico/app (sem DANFE)</t>
        </is>
      </c>
    </row>
    <row r="80">
      <c r="A80" s="26" t="n">
        <v>46204</v>
      </c>
      <c r="B80" s="27" t="inlineStr">
        <is>
          <t>Google Cloud Z7n7nc</t>
        </is>
      </c>
      <c r="C80" s="27" t="n"/>
      <c r="D80" s="28" t="n">
        <v>1032.76</v>
      </c>
      <c r="E80" s="27" t="inlineStr">
        <is>
          <t>****9061</t>
        </is>
      </c>
      <c r="F80" s="27" t="inlineStr">
        <is>
          <t>Servico/app (sem DANFE)</t>
        </is>
      </c>
    </row>
    <row r="81">
      <c r="A81" s="26" t="n">
        <v>46204</v>
      </c>
      <c r="B81" s="27" t="inlineStr">
        <is>
          <t>Aliexpress</t>
        </is>
      </c>
      <c r="C81" s="27" t="n"/>
      <c r="D81" s="28" t="n">
        <v>151.69</v>
      </c>
      <c r="E81" s="27" t="inlineStr">
        <is>
          <t>****9061</t>
        </is>
      </c>
      <c r="F81" s="27" t="inlineStr">
        <is>
          <t>Servico/app (sem DANFE)</t>
        </is>
      </c>
    </row>
    <row r="82">
      <c r="A82" s="26" t="n">
        <v>46204</v>
      </c>
      <c r="B82" s="27" t="inlineStr">
        <is>
          <t>Ryze Ai</t>
        </is>
      </c>
      <c r="C82" s="27" t="n"/>
      <c r="D82" s="28" t="n">
        <v>27.77</v>
      </c>
      <c r="E82" s="27" t="inlineStr">
        <is>
          <t>****9061</t>
        </is>
      </c>
      <c r="F82" s="27" t="inlineStr">
        <is>
          <t>Servico/app (sem DANFE)</t>
        </is>
      </c>
    </row>
    <row r="83">
      <c r="A83" s="26" t="n">
        <v>46204</v>
      </c>
      <c r="B83" s="27" t="inlineStr">
        <is>
          <t>Facebk *Dtc4asmu32</t>
        </is>
      </c>
      <c r="C83" s="27" t="n"/>
      <c r="D83" s="28" t="n">
        <v>130</v>
      </c>
      <c r="E83" s="27" t="inlineStr">
        <is>
          <t>****9061</t>
        </is>
      </c>
      <c r="F83" s="27" t="inlineStr">
        <is>
          <t>Servico/app (sem DANFE)</t>
        </is>
      </c>
    </row>
    <row r="84">
      <c r="A84" s="26" t="n">
        <v>46204</v>
      </c>
      <c r="B84" s="27" t="inlineStr">
        <is>
          <t>Facebk *W577asmu32</t>
        </is>
      </c>
      <c r="C84" s="27" t="n"/>
      <c r="D84" s="28" t="n">
        <v>88.55</v>
      </c>
      <c r="E84" s="27" t="inlineStr">
        <is>
          <t>****9061</t>
        </is>
      </c>
      <c r="F84" s="27" t="inlineStr">
        <is>
          <t>Servico/app (sem DANFE)</t>
        </is>
      </c>
    </row>
    <row r="85">
      <c r="A85" s="26" t="n">
        <v>46204</v>
      </c>
      <c r="B85" s="27" t="inlineStr">
        <is>
          <t>Google Ads2978776244</t>
        </is>
      </c>
      <c r="C85" s="27" t="n"/>
      <c r="D85" s="28" t="n">
        <v>1665.22</v>
      </c>
      <c r="E85" s="27" t="inlineStr">
        <is>
          <t>****9061</t>
        </is>
      </c>
      <c r="F85" s="27" t="inlineStr">
        <is>
          <t>Servico/app (sem DANFE)</t>
        </is>
      </c>
    </row>
    <row r="86">
      <c r="A86" s="26" t="n">
        <v>46204</v>
      </c>
      <c r="B86" s="27" t="inlineStr">
        <is>
          <t>Google Workspace_pedem</t>
        </is>
      </c>
      <c r="C86" s="27" t="n"/>
      <c r="D86" s="28" t="n">
        <v>94.73</v>
      </c>
      <c r="E86" s="27" t="inlineStr">
        <is>
          <t>****9061</t>
        </is>
      </c>
      <c r="F86" s="27" t="inlineStr">
        <is>
          <t>Servico/app (sem DANFE)</t>
        </is>
      </c>
    </row>
    <row r="87">
      <c r="A87" s="15" t="n">
        <v>46204</v>
      </c>
      <c r="B87" s="14" t="inlineStr">
        <is>
          <t>Mp *Tiagohenriquealves</t>
        </is>
      </c>
      <c r="C87" s="14" t="n"/>
      <c r="D87" s="16" t="n">
        <v>19</v>
      </c>
      <c r="E87" s="14" t="inlineStr">
        <is>
          <t>****4280</t>
        </is>
      </c>
      <c r="F87" s="14" t="inlineStr">
        <is>
          <t>Mercadoria - conferir NF-e</t>
        </is>
      </c>
    </row>
    <row r="88">
      <c r="A88" s="26" t="n">
        <v>46203</v>
      </c>
      <c r="B88" s="27" t="inlineStr">
        <is>
          <t>Tim*11981472453</t>
        </is>
      </c>
      <c r="C88" s="27" t="n"/>
      <c r="D88" s="28" t="n">
        <v>49.99</v>
      </c>
      <c r="E88" s="27" t="inlineStr">
        <is>
          <t>****9061</t>
        </is>
      </c>
      <c r="F88" s="27" t="inlineStr">
        <is>
          <t>Servico/app (sem DANFE)</t>
        </is>
      </c>
    </row>
    <row r="89">
      <c r="A89" s="26" t="n">
        <v>46203</v>
      </c>
      <c r="B89" s="27" t="inlineStr">
        <is>
          <t>Ryze Ai</t>
        </is>
      </c>
      <c r="C89" s="27" t="n"/>
      <c r="D89" s="28" t="n">
        <v>25.03</v>
      </c>
      <c r="E89" s="27" t="inlineStr">
        <is>
          <t>****9061</t>
        </is>
      </c>
      <c r="F89" s="27" t="inlineStr">
        <is>
          <t>Servico/app (sem DANFE)</t>
        </is>
      </c>
    </row>
    <row r="90">
      <c r="A90" s="26" t="n">
        <v>46180</v>
      </c>
      <c r="B90" s="27" t="inlineStr">
        <is>
          <t>Mercadolivre*merca</t>
        </is>
      </c>
      <c r="C90" s="27" t="inlineStr">
        <is>
          <t>Parcela 2 de 10</t>
        </is>
      </c>
      <c r="D90" s="28" t="n">
        <v>181.14</v>
      </c>
      <c r="E90" s="27" t="inlineStr">
        <is>
          <t>****9061</t>
        </is>
      </c>
      <c r="F90" s="27" t="inlineStr">
        <is>
          <t>Servico/app (sem DANFE)</t>
        </is>
      </c>
    </row>
    <row r="91">
      <c r="A91" s="26" t="n">
        <v>46177</v>
      </c>
      <c r="B91" s="27" t="inlineStr">
        <is>
          <t>Mercadolivre*merca</t>
        </is>
      </c>
      <c r="C91" s="27" t="inlineStr">
        <is>
          <t>Parcela 2 de 10</t>
        </is>
      </c>
      <c r="D91" s="28" t="n">
        <v>166</v>
      </c>
      <c r="E91" s="27" t="inlineStr">
        <is>
          <t>****9061</t>
        </is>
      </c>
      <c r="F91" s="27" t="inlineStr">
        <is>
          <t>Servico/app (sem DANFE)</t>
        </is>
      </c>
    </row>
    <row r="92">
      <c r="A92" s="26" t="n">
        <v>46175</v>
      </c>
      <c r="B92" s="27" t="inlineStr">
        <is>
          <t>Mag*magalu-magazin</t>
        </is>
      </c>
      <c r="C92" s="27" t="inlineStr">
        <is>
          <t>Parcela 2 de 10</t>
        </is>
      </c>
      <c r="D92" s="28" t="n">
        <v>629.9</v>
      </c>
      <c r="E92" s="27" t="inlineStr">
        <is>
          <t>****9061</t>
        </is>
      </c>
      <c r="F92" s="27" t="inlineStr">
        <is>
          <t>Servico/app (sem DANFE)</t>
        </is>
      </c>
    </row>
    <row r="93">
      <c r="A93" s="15" t="n">
        <v>45974</v>
      </c>
      <c r="B93" s="14" t="inlineStr">
        <is>
          <t>Tramontina</t>
        </is>
      </c>
      <c r="C93" s="14" t="inlineStr">
        <is>
          <t>Parcela 9 de 10</t>
        </is>
      </c>
      <c r="D93" s="16" t="n">
        <v>402.35</v>
      </c>
      <c r="E93" s="14" t="inlineStr">
        <is>
          <t>****9061</t>
        </is>
      </c>
      <c r="F93" s="14" t="inlineStr">
        <is>
          <t>Mercadoria - conferir NF-e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38" customWidth="1" min="4" max="4"/>
    <col width="12" customWidth="1" min="5" max="5"/>
    <col width="14" customWidth="1" min="6" max="6"/>
    <col width="10" customWidth="1" min="7" max="7"/>
    <col width="9" customWidth="1" min="8" max="8"/>
    <col width="12" customWidth="1" min="9" max="9"/>
  </cols>
  <sheetData>
    <row r="1">
      <c r="A1" s="13" t="inlineStr">
        <is>
          <t>Fatura Fornecedor</t>
        </is>
      </c>
      <c r="B1" s="13" t="inlineStr">
        <is>
          <t>Fatura Data</t>
        </is>
      </c>
      <c r="C1" s="13" t="inlineStr">
        <is>
          <t>Fatura Valor R$</t>
        </is>
      </c>
      <c r="D1" s="13" t="inlineStr">
        <is>
          <t>Everest Fornecedor</t>
        </is>
      </c>
      <c r="E1" s="13" t="inlineStr">
        <is>
          <t>Everest Data</t>
        </is>
      </c>
      <c r="F1" s="13" t="inlineStr">
        <is>
          <t>Everest Valor R$</t>
        </is>
      </c>
      <c r="G1" s="13" t="inlineStr">
        <is>
          <t>Dif R$</t>
        </is>
      </c>
      <c r="H1" s="13" t="inlineStr">
        <is>
          <t>Dif dias</t>
        </is>
      </c>
      <c r="I1" s="13" t="inlineStr">
        <is>
          <t>Score fornec.</t>
        </is>
      </c>
    </row>
    <row r="2">
      <c r="A2" s="23" t="inlineStr">
        <is>
          <t>Imigbeb*imigbebidas</t>
        </is>
      </c>
      <c r="B2" s="24" t="n">
        <v>46209</v>
      </c>
      <c r="C2" s="25" t="n">
        <v>337.86</v>
      </c>
      <c r="D2" s="23" t="inlineStr">
        <is>
          <t>IMIGRANTES BEBIDAS</t>
        </is>
      </c>
      <c r="E2" s="24" t="n">
        <v>46209.48568287037</v>
      </c>
      <c r="F2" s="25" t="n">
        <v>337.68</v>
      </c>
      <c r="G2" s="25" t="n">
        <v>0.18</v>
      </c>
      <c r="H2" s="23" t="n">
        <v>0</v>
      </c>
      <c r="I2" s="23" t="n">
        <v>1</v>
      </c>
    </row>
    <row r="3">
      <c r="A3" s="23" t="inlineStr">
        <is>
          <t>Netfeira</t>
        </is>
      </c>
      <c r="B3" s="24" t="n">
        <v>46225</v>
      </c>
      <c r="C3" s="25" t="n">
        <v>315.17</v>
      </c>
      <c r="D3" s="23" t="inlineStr">
        <is>
          <t>NETFEIRA PONTOCOM LTDA.</t>
        </is>
      </c>
      <c r="E3" s="24" t="n">
        <v>46224</v>
      </c>
      <c r="F3" s="25" t="n">
        <v>315.75</v>
      </c>
      <c r="G3" s="25" t="n">
        <v>0.58</v>
      </c>
      <c r="H3" s="23" t="n">
        <v>1</v>
      </c>
      <c r="I3" s="23" t="n">
        <v>0.64</v>
      </c>
    </row>
    <row r="4">
      <c r="A4" s="23" t="inlineStr">
        <is>
          <t>Mercadolivre*mercadol</t>
        </is>
      </c>
      <c r="B4" s="24" t="n">
        <v>46219</v>
      </c>
      <c r="C4" s="25" t="n">
        <v>71.01000000000001</v>
      </c>
      <c r="D4" s="23" t="inlineStr">
        <is>
          <t>EBAZAR.COM.BR. LTDA</t>
        </is>
      </c>
      <c r="E4" s="24" t="n">
        <v>46219.63076388889</v>
      </c>
      <c r="F4" s="25" t="n">
        <v>59.9</v>
      </c>
      <c r="G4" s="25" t="n">
        <v>11.11</v>
      </c>
      <c r="H4" s="23" t="n">
        <v>0</v>
      </c>
      <c r="I4" s="23" t="n">
        <v>1</v>
      </c>
    </row>
    <row r="5">
      <c r="A5" s="23" t="inlineStr">
        <is>
          <t>Mercadolivre*mercadol</t>
        </is>
      </c>
      <c r="B5" s="24" t="n">
        <v>46225</v>
      </c>
      <c r="C5" s="25" t="n">
        <v>44.99</v>
      </c>
      <c r="D5" s="23" t="inlineStr">
        <is>
          <t>EBAZAR.COM.BR. LTDA</t>
        </is>
      </c>
      <c r="E5" s="24" t="n">
        <v>46219.63157407408</v>
      </c>
      <c r="F5" s="25" t="n">
        <v>59.9</v>
      </c>
      <c r="G5" s="25" t="n">
        <v>14.91</v>
      </c>
      <c r="H5" s="23" t="n">
        <v>6</v>
      </c>
      <c r="I5" s="2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8" customWidth="1" min="4" max="4"/>
    <col width="42" customWidth="1" min="5" max="5"/>
  </cols>
  <sheetData>
    <row r="1">
      <c r="A1" s="13" t="inlineStr">
        <is>
          <t>Fornecedor</t>
        </is>
      </c>
      <c r="B1" s="13" t="inlineStr">
        <is>
          <t>Data</t>
        </is>
      </c>
      <c r="C1" s="13" t="inlineStr">
        <is>
          <t>Valor R$</t>
        </is>
      </c>
      <c r="D1" s="13" t="inlineStr">
        <is>
          <t>Setor</t>
        </is>
      </c>
      <c r="E1" s="13" t="inlineStr">
        <is>
          <t>Tipo</t>
        </is>
      </c>
    </row>
    <row r="2">
      <c r="A2" s="20" t="inlineStr">
        <is>
          <t>KHADUN B. LIMA</t>
        </is>
      </c>
      <c r="B2" s="21" t="n">
        <v>46218</v>
      </c>
      <c r="C2" s="22" t="n">
        <v>3860.56</v>
      </c>
      <c r="D2" s="20" t="inlineStr">
        <is>
          <t>COZINHA</t>
        </is>
      </c>
      <c r="E2" s="20" t="inlineStr">
        <is>
          <t>Mesmo fornecedor (lancamento em dobro?)</t>
        </is>
      </c>
    </row>
    <row r="3">
      <c r="A3" s="20" t="inlineStr">
        <is>
          <t>KHADUN B. LIMA</t>
        </is>
      </c>
      <c r="B3" s="21" t="n">
        <v>46218</v>
      </c>
      <c r="C3" s="22" t="n">
        <v>3860.56</v>
      </c>
      <c r="D3" s="20" t="inlineStr">
        <is>
          <t>COZINHA</t>
        </is>
      </c>
      <c r="E3" s="20" t="inlineStr">
        <is>
          <t>Mesmo fornecedor (lancamento em dobro?)</t>
        </is>
      </c>
    </row>
    <row r="4">
      <c r="A4" s="20" t="inlineStr">
        <is>
          <t>FABIO ROSOCHASNKY - DELLAS CONECTING</t>
        </is>
      </c>
      <c r="B4" s="21" t="n">
        <v>46203</v>
      </c>
      <c r="C4" s="22" t="n">
        <v>1500</v>
      </c>
      <c r="D4" s="20" t="inlineStr">
        <is>
          <t>MARKETING</t>
        </is>
      </c>
      <c r="E4" s="20" t="inlineStr">
        <is>
          <t>Fornecedores diferentes (mesma compra em 2 nomes?)</t>
        </is>
      </c>
    </row>
    <row r="5">
      <c r="A5" s="20" t="inlineStr">
        <is>
          <t>INSTAGRAM</t>
        </is>
      </c>
      <c r="B5" s="21" t="n">
        <v>46203</v>
      </c>
      <c r="C5" s="22" t="n">
        <v>1500</v>
      </c>
      <c r="D5" s="20" t="inlineStr">
        <is>
          <t>MARKETING</t>
        </is>
      </c>
      <c r="E5" s="20" t="inlineStr">
        <is>
          <t>Fornecedores diferentes (mesma compra em 2 nomes?)</t>
        </is>
      </c>
    </row>
    <row r="6">
      <c r="A6" s="20" t="inlineStr">
        <is>
          <t>EBAZAR.COM.BR.LTDA</t>
        </is>
      </c>
      <c r="B6" s="21" t="n">
        <v>46219</v>
      </c>
      <c r="C6" s="22" t="n">
        <v>59.9</v>
      </c>
      <c r="D6" s="20" t="inlineStr">
        <is>
          <t>UTENSILIOS</t>
        </is>
      </c>
      <c r="E6" s="20" t="inlineStr">
        <is>
          <t>Mesmo fornecedor (lancamento em dobro?)</t>
        </is>
      </c>
    </row>
    <row r="7">
      <c r="A7" s="20" t="inlineStr">
        <is>
          <t>EBAZAR.COM.BR.LTDA</t>
        </is>
      </c>
      <c r="B7" s="21" t="n">
        <v>46219</v>
      </c>
      <c r="C7" s="22" t="n">
        <v>59.9</v>
      </c>
      <c r="D7" s="20" t="inlineStr">
        <is>
          <t>UTENSILIOS</t>
        </is>
      </c>
      <c r="E7" s="20" t="inlineStr">
        <is>
          <t>Mesmo fornecedor (lancamento em dobro?)</t>
        </is>
      </c>
    </row>
    <row r="8">
      <c r="A8" s="20" t="inlineStr">
        <is>
          <t>EBAZAR.COM.BR.LTDA</t>
        </is>
      </c>
      <c r="B8" s="21" t="n">
        <v>46219</v>
      </c>
      <c r="C8" s="22" t="n">
        <v>59.9</v>
      </c>
      <c r="D8" s="20" t="inlineStr">
        <is>
          <t>UTENSILIOS</t>
        </is>
      </c>
      <c r="E8" s="20" t="inlineStr">
        <is>
          <t>Mesmo fornecedor (lancamento em dobro?)</t>
        </is>
      </c>
    </row>
    <row r="9">
      <c r="A9" s="20" t="inlineStr">
        <is>
          <t>EBAZAR.COM.BR.LTDA</t>
        </is>
      </c>
      <c r="B9" s="21" t="n">
        <v>46219</v>
      </c>
      <c r="C9" s="22" t="n">
        <v>59.9</v>
      </c>
      <c r="D9" s="20" t="inlineStr">
        <is>
          <t>UTENSILIOS</t>
        </is>
      </c>
      <c r="E9" s="20" t="inlineStr">
        <is>
          <t>Mesmo fornecedor (lancamento em dobro?)</t>
        </is>
      </c>
    </row>
    <row r="10">
      <c r="A10" s="20" t="inlineStr">
        <is>
          <t>EBAZAR.COM.BR.LTDA</t>
        </is>
      </c>
      <c r="B10" s="21" t="n">
        <v>46219</v>
      </c>
      <c r="C10" s="22" t="n">
        <v>59.9</v>
      </c>
      <c r="D10" s="20" t="inlineStr">
        <is>
          <t>UTENSILIOS</t>
        </is>
      </c>
      <c r="E10" s="20" t="inlineStr">
        <is>
          <t>Mesmo fornecedor (lancamento em dobro?)</t>
        </is>
      </c>
    </row>
    <row r="11">
      <c r="A11" s="20" t="inlineStr">
        <is>
          <t>EBAZAR.COM.BR.LTDA</t>
        </is>
      </c>
      <c r="B11" s="21" t="n">
        <v>46219</v>
      </c>
      <c r="C11" s="22" t="n">
        <v>59.9</v>
      </c>
      <c r="D11" s="20" t="inlineStr">
        <is>
          <t>UTENSILIOS</t>
        </is>
      </c>
      <c r="E11" s="20" t="inlineStr">
        <is>
          <t>Mesmo fornecedor (lancamento em dobro?)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2026-08-24T20:14:49Z</dcterms:created>
  <dcterms:modified xsi:type="dcterms:W3CDTF">2026-08-24T20:14:49Z</dcterms:modified>
</cp:coreProperties>
</file>