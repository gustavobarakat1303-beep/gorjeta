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_Everest_falta_Excel" sheetId="2" state="visible" r:id="rId2"/>
    <sheet name="B_Excel_falta_Everest" sheetId="3" state="visible" r:id="rId3"/>
    <sheet name="C_Near_Match_A_B" sheetId="4" state="visible" r:id="rId4"/>
    <sheet name="D_Duplicidades_Excel" sheetId="5" state="visible" r:id="rId5"/>
    <sheet name="E_Fatura_falta_Everest_CC" sheetId="6" state="visible" r:id="rId6"/>
    <sheet name="F_Sobra_Everest_CC" sheetId="7" state="visible" r:id="rId7"/>
    <sheet name="G_Near_Match_Fatura_CC" sheetId="8" state="visible" r:id="rId8"/>
    <sheet name="H_Impostos_exclui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b val="1"/>
      <color rgb="00FFFFFF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4" fillId="6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165" fontId="0" fillId="0" borderId="1" pivotButton="0" quotePrefix="0" xfId="0"/>
    <xf numFmtId="0" fontId="0" fillId="5" borderId="1" pivotButton="0" quotePrefix="0" xfId="0"/>
    <xf numFmtId="165" fontId="0" fillId="5" borderId="1" pivotButton="0" quotePrefix="0" xfId="0"/>
    <xf numFmtId="4" fontId="0" fillId="5" borderId="1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165" fontId="0" fillId="2" borderId="1" pivotButton="0" quotePrefix="0" xfId="0"/>
    <xf numFmtId="0" fontId="0" fillId="2" borderId="1" pivotButton="0" quotePrefix="0" xfId="0"/>
    <xf numFmtId="4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</cols>
  <sheetData>
    <row r="1">
      <c r="A1" s="1" t="inlineStr">
        <is>
          <t>Conciliacao Pe de Manga - Junho/2026 (v2)</t>
        </is>
      </c>
    </row>
    <row r="2">
      <c r="A2" s="2" t="inlineStr">
        <is>
          <t>Base: Carteira de Titulos a Pagar (Everest) SEM impostos + Excel controle + Fatura Itau Julho</t>
        </is>
      </c>
    </row>
    <row r="4">
      <c r="A4" s="3">
        <f>== BASE EVEREST (Carteira Titulos a Pagar Junho/2026) ===</f>
        <v/>
      </c>
      <c r="C4" s="3" t="inlineStr"/>
    </row>
    <row r="5">
      <c r="A5" s="3" t="inlineStr">
        <is>
          <t>Total original (com impostos)</t>
        </is>
      </c>
      <c r="C5" s="3" t="n">
        <v>407</v>
      </c>
    </row>
    <row r="6">
      <c r="A6" t="inlineStr">
        <is>
          <t>Total original valor R$</t>
        </is>
      </c>
      <c r="C6" s="4" t="n">
        <v>708180.16</v>
      </c>
    </row>
    <row r="7">
      <c r="A7" t="inlineStr">
        <is>
          <t>Impostos EXCLUIDOS - qtde</t>
        </is>
      </c>
      <c r="C7" t="n">
        <v>11</v>
      </c>
    </row>
    <row r="8">
      <c r="A8" s="5" t="inlineStr">
        <is>
          <t>Impostos EXCLUIDOS - valor R$</t>
        </is>
      </c>
      <c r="B8" s="5" t="n"/>
      <c r="C8" s="6" t="n">
        <v>99582.86</v>
      </c>
    </row>
    <row r="9">
      <c r="A9" s="7" t="inlineStr">
        <is>
          <t>Everest util - qtde</t>
        </is>
      </c>
      <c r="B9" s="8" t="n"/>
      <c r="C9" s="7" t="n">
        <v>396</v>
      </c>
    </row>
    <row r="10">
      <c r="A10" s="8" t="inlineStr">
        <is>
          <t>Everest util - valor R$</t>
        </is>
      </c>
      <c r="B10" s="8" t="n"/>
      <c r="C10" s="9" t="n">
        <v>608597.3</v>
      </c>
    </row>
    <row r="11">
      <c r="A11" t="inlineStr">
        <is>
          <t xml:space="preserve">  Portador ITAU (boleto/PIX) qtde</t>
        </is>
      </c>
      <c r="C11" t="n">
        <v>294</v>
      </c>
    </row>
    <row r="12">
      <c r="A12" t="inlineStr">
        <is>
          <t xml:space="preserve">  Portador ITAU valor R$</t>
        </is>
      </c>
      <c r="C12" s="4" t="n">
        <v>494376.15</v>
      </c>
    </row>
    <row r="13">
      <c r="A13" s="3" t="inlineStr">
        <is>
          <t xml:space="preserve">  Portador CARTAO DE CREDITO qtde</t>
        </is>
      </c>
      <c r="C13" s="3" t="n">
        <v>97</v>
      </c>
    </row>
    <row r="14">
      <c r="A14" t="inlineStr">
        <is>
          <t xml:space="preserve">  Portador CARTAO valor R$</t>
        </is>
      </c>
      <c r="C14" s="4" t="n">
        <v>113958.42</v>
      </c>
    </row>
    <row r="15">
      <c r="A15" t="inlineStr">
        <is>
          <t xml:space="preserve">  Portador CARTEIRA qtde</t>
        </is>
      </c>
      <c r="C15" t="n">
        <v>5</v>
      </c>
    </row>
    <row r="16">
      <c r="A16" t="inlineStr">
        <is>
          <t xml:space="preserve">  Portador CARTEIRA valor R$</t>
        </is>
      </c>
      <c r="C16" s="4" t="n">
        <v>262.73</v>
      </c>
    </row>
    <row r="18">
      <c r="A18" s="3">
        <f>== RECON A: Everest util x Excel controle ===</f>
        <v/>
      </c>
      <c r="C18" s="3" t="inlineStr"/>
    </row>
    <row r="19">
      <c r="A19" t="inlineStr">
        <is>
          <t>Excel - qtde</t>
        </is>
      </c>
      <c r="C19" t="n">
        <v>305</v>
      </c>
    </row>
    <row r="20">
      <c r="A20" t="inlineStr">
        <is>
          <t>Excel - valor R$</t>
        </is>
      </c>
      <c r="C20" s="4" t="n">
        <v>384560.57</v>
      </c>
    </row>
    <row r="21">
      <c r="A21" s="7" t="inlineStr">
        <is>
          <t>Casam por valor</t>
        </is>
      </c>
      <c r="B21" s="8" t="n"/>
      <c r="C21" s="7" t="n">
        <v>280</v>
      </c>
    </row>
    <row r="22">
      <c r="A22" s="10" t="inlineStr">
        <is>
          <t>(A) Everest, falta no Excel - qtde</t>
        </is>
      </c>
      <c r="B22" s="11" t="n"/>
      <c r="C22" s="10" t="n">
        <v>116</v>
      </c>
    </row>
    <row r="23">
      <c r="A23" s="11" t="inlineStr">
        <is>
          <t>(A) valor R$</t>
        </is>
      </c>
      <c r="B23" s="11" t="n"/>
      <c r="C23" s="12" t="n">
        <v>272901.99</v>
      </c>
    </row>
    <row r="24">
      <c r="A24" s="10" t="inlineStr">
        <is>
          <t>(B) Excel, falta no Everest - qtde</t>
        </is>
      </c>
      <c r="B24" s="11" t="n"/>
      <c r="C24" s="10" t="n">
        <v>25</v>
      </c>
    </row>
    <row r="25">
      <c r="A25" s="11" t="inlineStr">
        <is>
          <t>(B) valor R$</t>
        </is>
      </c>
      <c r="B25" s="11" t="n"/>
      <c r="C25" s="12" t="n">
        <v>48865.26</v>
      </c>
    </row>
    <row r="26">
      <c r="A26" s="13" t="inlineStr">
        <is>
          <t xml:space="preserve">   B - Deveria ter NF-e - qtde</t>
        </is>
      </c>
      <c r="B26" s="14" t="n"/>
      <c r="C26" s="13" t="n">
        <v>11</v>
      </c>
    </row>
    <row r="27">
      <c r="A27" s="14" t="inlineStr">
        <is>
          <t xml:space="preserve">   B - Deveria ter NF-e - valor R$</t>
        </is>
      </c>
      <c r="B27" s="14" t="n"/>
      <c r="C27" s="15" t="n">
        <v>39884.31</v>
      </c>
    </row>
    <row r="28">
      <c r="A28" t="inlineStr">
        <is>
          <t xml:space="preserve">   B - Servico/assinatura - qtde</t>
        </is>
      </c>
      <c r="C28" t="n">
        <v>14</v>
      </c>
    </row>
    <row r="29">
      <c r="A29" t="inlineStr">
        <is>
          <t xml:space="preserve">   B - Servico/assinatura - valor R$</t>
        </is>
      </c>
      <c r="C29" s="4" t="n">
        <v>8980.950000000001</v>
      </c>
    </row>
    <row r="30">
      <c r="A30" s="10" t="inlineStr">
        <is>
          <t>Duplicidades Excel (linhas)</t>
        </is>
      </c>
      <c r="B30" s="11" t="n"/>
      <c r="C30" s="10" t="n">
        <v>10</v>
      </c>
    </row>
    <row r="31">
      <c r="A31" s="3" t="inlineStr">
        <is>
          <t>Pares near-match A&lt;-&gt;B</t>
        </is>
      </c>
      <c r="C31" s="3" t="n">
        <v>21</v>
      </c>
    </row>
    <row r="33">
      <c r="A33" s="3" t="inlineStr">
        <is>
          <t>B por setor:</t>
        </is>
      </c>
      <c r="C33" s="3" t="inlineStr"/>
    </row>
    <row r="34">
      <c r="A34" s="16" t="inlineStr">
        <is>
          <t>Setor</t>
        </is>
      </c>
      <c r="B34" s="16" t="inlineStr">
        <is>
          <t>Qtde</t>
        </is>
      </c>
      <c r="C34" s="16" t="inlineStr">
        <is>
          <t>Valor R$</t>
        </is>
      </c>
    </row>
    <row r="35">
      <c r="A35" s="17" t="inlineStr">
        <is>
          <t>COZINHA</t>
        </is>
      </c>
      <c r="B35" s="17" t="n">
        <v>7</v>
      </c>
      <c r="C35" s="18" t="n">
        <v>28347.6</v>
      </c>
    </row>
    <row r="36">
      <c r="A36" s="17" t="inlineStr">
        <is>
          <t>BAR</t>
        </is>
      </c>
      <c r="B36" s="17" t="n">
        <v>3</v>
      </c>
      <c r="C36" s="18" t="n">
        <v>11355.57</v>
      </c>
    </row>
    <row r="37">
      <c r="A37" s="17" t="inlineStr">
        <is>
          <t>MARKETING</t>
        </is>
      </c>
      <c r="B37" s="17" t="n">
        <v>3</v>
      </c>
      <c r="C37" s="18" t="n">
        <v>3372.36</v>
      </c>
    </row>
    <row r="38">
      <c r="A38" s="17" t="inlineStr">
        <is>
          <t>MANUTENÇÃO</t>
        </is>
      </c>
      <c r="B38" s="17" t="n">
        <v>2</v>
      </c>
      <c r="C38" s="18" t="n">
        <v>2817.42</v>
      </c>
    </row>
    <row r="39">
      <c r="A39" s="17" t="inlineStr">
        <is>
          <t>EVENTUAL</t>
        </is>
      </c>
      <c r="B39" s="17" t="n">
        <v>9</v>
      </c>
      <c r="C39" s="18" t="n">
        <v>2791.17</v>
      </c>
    </row>
    <row r="40">
      <c r="A40" s="17" t="inlineStr">
        <is>
          <t>ESCRITÓRIO</t>
        </is>
      </c>
      <c r="B40" s="17" t="n">
        <v>1</v>
      </c>
      <c r="C40" s="18" t="n">
        <v>181.14</v>
      </c>
    </row>
    <row r="43">
      <c r="A43" s="3">
        <f>== RECON B: Fatura Itau Julho/2026 x Everest CC ===</f>
        <v/>
      </c>
      <c r="C43" s="3" t="inlineStr"/>
    </row>
    <row r="44">
      <c r="A44" t="inlineStr">
        <is>
          <t>Fatura Julho - transacoes</t>
        </is>
      </c>
      <c r="C44" t="n">
        <v>89</v>
      </c>
    </row>
    <row r="45">
      <c r="A45" t="inlineStr">
        <is>
          <t>Fatura Julho - valor R$</t>
        </is>
      </c>
      <c r="C45" s="4" t="n">
        <v>36060.91</v>
      </c>
    </row>
    <row r="46">
      <c r="A46" s="7" t="inlineStr">
        <is>
          <t>Casam por valor com Everest CC</t>
        </is>
      </c>
      <c r="B46" s="8" t="n"/>
      <c r="C46" s="7" t="n">
        <v>67</v>
      </c>
    </row>
    <row r="47">
      <c r="A47" s="10" t="inlineStr">
        <is>
          <t>Fatura SEM Everest CC - qtde</t>
        </is>
      </c>
      <c r="B47" s="11" t="n"/>
      <c r="C47" s="10" t="n">
        <v>22</v>
      </c>
    </row>
    <row r="48">
      <c r="A48" s="13" t="inlineStr">
        <is>
          <t xml:space="preserve">   Mercadoria DEVE TER DANFE - qtde</t>
        </is>
      </c>
      <c r="B48" s="14" t="n"/>
      <c r="C48" s="13" t="n">
        <v>5</v>
      </c>
    </row>
    <row r="49">
      <c r="A49" s="14" t="inlineStr">
        <is>
          <t xml:space="preserve">   Mercadoria DEVE TER DANFE - valor R$</t>
        </is>
      </c>
      <c r="B49" s="14" t="n"/>
      <c r="C49" s="15" t="n">
        <v>4181.14</v>
      </c>
    </row>
    <row r="50">
      <c r="A50" t="inlineStr">
        <is>
          <t xml:space="preserve">   Servico/app - qtde</t>
        </is>
      </c>
      <c r="C50" t="n">
        <v>17</v>
      </c>
    </row>
    <row r="51">
      <c r="A51" t="inlineStr">
        <is>
          <t xml:space="preserve">   Servico/app - valor R$</t>
        </is>
      </c>
      <c r="C51" s="4" t="n">
        <v>3028.35</v>
      </c>
    </row>
    <row r="52">
      <c r="A52" t="inlineStr">
        <is>
          <t>Sobram Everest CC (nao estao na fatura)</t>
        </is>
      </c>
      <c r="C52" t="n">
        <v>30</v>
      </c>
    </row>
    <row r="53">
      <c r="A53" t="inlineStr">
        <is>
          <t>Sobram Everest CC valor R$</t>
        </is>
      </c>
      <c r="C53" s="4" t="n">
        <v>85107</v>
      </c>
    </row>
    <row r="54">
      <c r="A54" s="3" t="inlineStr">
        <is>
          <t>Near-match fatura&lt;-&gt;Everest CC</t>
        </is>
      </c>
      <c r="C54" s="3" t="n">
        <v>2</v>
      </c>
    </row>
    <row r="57">
      <c r="A57" s="3" t="inlineStr">
        <is>
          <t>OBSERVACOES:</t>
        </is>
      </c>
    </row>
    <row r="58">
      <c r="A58" s="19" t="inlineStr">
        <is>
          <t>- Impostos foram excluidos por solicitacao (SIMPLES NACIONAL, FGTS, INSS/IRRF, GARE ICMS, ISS).</t>
        </is>
      </c>
    </row>
    <row r="59">
      <c r="A59" s="19" t="inlineStr">
        <is>
          <t>- (A) Everest sem Excel: maior parte sao contas que o Excel controle NAO acompanha (folha, aluguel, transporte, condominio, servicos). Isso e esperado.</t>
        </is>
      </c>
    </row>
    <row r="60">
      <c r="A60" s="19" t="inlineStr">
        <is>
          <t>- Pares near-match: mesma compra registrada com valor levemente diferente. CALIMP 20.481 (Everest) vs 20.418 (Excel) - dif R$63.</t>
        </is>
      </c>
    </row>
    <row r="61">
      <c r="A61" s="19" t="inlineStr">
        <is>
          <t>- Duplicidades Excel: FABIO ROSOCHASNKY 1500 + INSTAGRAM 1500 no 30/05, N.S.A 340,08 x2, LALAMOVE 125 x2, EBAZAR 59,90 x4.</t>
        </is>
      </c>
    </row>
    <row r="62">
      <c r="A62" s="19" t="inlineStr">
        <is>
          <t>- Recon B usa 97 titulos com Portador=CARTAO DE CREDITO no Everest.</t>
        </is>
      </c>
    </row>
    <row r="63">
      <c r="A63" s="19" t="inlineStr">
        <is>
          <t>- Fatura Julho contem: pagamento Junho (R$ -45.144,23), estornos anuidade, encargos por atraso R$ 2.432,59, IOFs.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8" customWidth="1" min="3" max="3"/>
    <col width="20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16" t="inlineStr">
        <is>
          <t>Origem</t>
        </is>
      </c>
      <c r="B1" s="16" t="inlineStr">
        <is>
          <t>Fornecedor (Everest)</t>
        </is>
      </c>
      <c r="C1" s="16" t="inlineStr">
        <is>
          <t>Parcela</t>
        </is>
      </c>
      <c r="D1" s="16" t="inlineStr">
        <is>
          <t>Portador</t>
        </is>
      </c>
      <c r="E1" s="16" t="inlineStr">
        <is>
          <t>D. Lancamento</t>
        </is>
      </c>
      <c r="F1" s="16" t="inlineStr">
        <is>
          <t>D. Documento</t>
        </is>
      </c>
      <c r="G1" s="16" t="inlineStr">
        <is>
          <t>D. Competencia</t>
        </is>
      </c>
      <c r="H1" s="16" t="inlineStr">
        <is>
          <t>Valor R$</t>
        </is>
      </c>
    </row>
    <row r="2">
      <c r="A2" s="20" t="inlineStr">
        <is>
          <t>FINANCEIRO</t>
        </is>
      </c>
      <c r="B2" s="20" t="inlineStr">
        <is>
          <t>DARE-SP</t>
        </is>
      </c>
      <c r="C2" s="20" t="inlineStr">
        <is>
          <t>1/1</t>
        </is>
      </c>
      <c r="D2" s="20" t="inlineStr">
        <is>
          <t>ITAU</t>
        </is>
      </c>
      <c r="E2" s="21" t="n">
        <v>46223</v>
      </c>
      <c r="F2" s="21" t="n">
        <v>46223</v>
      </c>
      <c r="G2" s="21" t="n">
        <v>46203</v>
      </c>
      <c r="H2" s="22" t="n">
        <v>27158.64</v>
      </c>
    </row>
    <row r="3">
      <c r="A3" s="20" t="inlineStr">
        <is>
          <t>DANFE</t>
        </is>
      </c>
      <c r="B3" s="20" t="inlineStr">
        <is>
          <t>CALIMP IMPORTACAO E EXPORTACAO LTDA</t>
        </is>
      </c>
      <c r="C3" s="20" t="inlineStr">
        <is>
          <t>1/1</t>
        </is>
      </c>
      <c r="D3" s="20" t="inlineStr">
        <is>
          <t>ITAU</t>
        </is>
      </c>
      <c r="E3" s="21" t="n">
        <v>46192</v>
      </c>
      <c r="F3" s="21" t="n">
        <v>46191</v>
      </c>
      <c r="G3" s="21" t="n">
        <v>46192</v>
      </c>
      <c r="H3" s="22" t="n">
        <v>20481</v>
      </c>
    </row>
    <row r="4">
      <c r="A4" s="20" t="inlineStr">
        <is>
          <t>FINANCEIRO</t>
        </is>
      </c>
      <c r="B4" s="20" t="inlineStr">
        <is>
          <t>ELETROPAULO METROPOLITANA ELETRICIDADE DE SAO PAULO S.A.</t>
        </is>
      </c>
      <c r="C4" s="20" t="inlineStr">
        <is>
          <t>1/1</t>
        </is>
      </c>
      <c r="D4" s="20" t="inlineStr">
        <is>
          <t>ITAU</t>
        </is>
      </c>
      <c r="E4" s="21" t="n">
        <v>46183</v>
      </c>
      <c r="F4" s="21" t="n">
        <v>46183</v>
      </c>
      <c r="G4" s="21" t="n">
        <v>46174</v>
      </c>
      <c r="H4" s="22" t="n">
        <v>15156.54</v>
      </c>
    </row>
    <row r="5">
      <c r="A5" s="20" t="inlineStr">
        <is>
          <t>FINANCEIRO</t>
        </is>
      </c>
      <c r="B5" s="20" t="inlineStr">
        <is>
          <t>SAO PAULO TRANSPORTE S.A.</t>
        </is>
      </c>
      <c r="C5" s="20" t="inlineStr">
        <is>
          <t>1/1</t>
        </is>
      </c>
      <c r="D5" s="20" t="inlineStr">
        <is>
          <t>ITAU</t>
        </is>
      </c>
      <c r="E5" s="21" t="n">
        <v>46170</v>
      </c>
      <c r="F5" s="21" t="n">
        <v>46170</v>
      </c>
      <c r="G5" s="21" t="n">
        <v>46174</v>
      </c>
      <c r="H5" s="22" t="n">
        <v>13858.94</v>
      </c>
    </row>
    <row r="6">
      <c r="A6" s="20" t="inlineStr">
        <is>
          <t>DANFE</t>
        </is>
      </c>
      <c r="B6" s="20" t="inlineStr">
        <is>
          <t>MISTRAL IMPORTADORA LTDA</t>
        </is>
      </c>
      <c r="C6" s="20" t="inlineStr">
        <is>
          <t>2/3</t>
        </is>
      </c>
      <c r="D6" s="20" t="inlineStr">
        <is>
          <t>ITAU</t>
        </is>
      </c>
      <c r="E6" s="21" t="n">
        <v>46182</v>
      </c>
      <c r="F6" s="21" t="n">
        <v>46181</v>
      </c>
      <c r="G6" s="21" t="n">
        <v>46182</v>
      </c>
      <c r="H6" s="22" t="n">
        <v>7825.05</v>
      </c>
    </row>
    <row r="7">
      <c r="A7" s="20" t="inlineStr">
        <is>
          <t>DANFE</t>
        </is>
      </c>
      <c r="B7" s="20" t="inlineStr">
        <is>
          <t>MISTRAL IMPORTADORA LTDA</t>
        </is>
      </c>
      <c r="C7" s="20" t="inlineStr">
        <is>
          <t>3/3</t>
        </is>
      </c>
      <c r="D7" s="20" t="inlineStr">
        <is>
          <t>ITAU</t>
        </is>
      </c>
      <c r="E7" s="21" t="n">
        <v>46182</v>
      </c>
      <c r="F7" s="21" t="n">
        <v>46181</v>
      </c>
      <c r="G7" s="21" t="n">
        <v>46182</v>
      </c>
      <c r="H7" s="22" t="n">
        <v>7825.05</v>
      </c>
    </row>
    <row r="8">
      <c r="A8" s="20" t="inlineStr">
        <is>
          <t>DANFE</t>
        </is>
      </c>
      <c r="B8" s="20" t="inlineStr">
        <is>
          <t>MISTRAL IMPORTADORA LTDA</t>
        </is>
      </c>
      <c r="C8" s="20" t="inlineStr">
        <is>
          <t>2/2</t>
        </is>
      </c>
      <c r="D8" s="20" t="inlineStr">
        <is>
          <t>ITAU</t>
        </is>
      </c>
      <c r="E8" s="21" t="n">
        <v>46176</v>
      </c>
      <c r="F8" s="21" t="n">
        <v>46175</v>
      </c>
      <c r="G8" s="21" t="n">
        <v>46176</v>
      </c>
      <c r="H8" s="22" t="n">
        <v>6800.65</v>
      </c>
    </row>
    <row r="9">
      <c r="A9" s="20" t="inlineStr">
        <is>
          <t>FINANCEIRO</t>
        </is>
      </c>
      <c r="B9" s="20" t="inlineStr">
        <is>
          <t>MAGAZINE LUIZA S/A</t>
        </is>
      </c>
      <c r="C9" s="20" t="inlineStr">
        <is>
          <t>1/10</t>
        </is>
      </c>
      <c r="D9" s="20" t="inlineStr">
        <is>
          <t>CARTAO DE CREDITO</t>
        </is>
      </c>
      <c r="E9" s="21" t="n">
        <v>46177</v>
      </c>
      <c r="F9" s="21" t="n">
        <v>46177</v>
      </c>
      <c r="G9" s="21" t="n">
        <v>46177</v>
      </c>
      <c r="H9" s="22" t="n">
        <v>6299</v>
      </c>
    </row>
    <row r="10">
      <c r="A10" s="20" t="inlineStr">
        <is>
          <t>FINANCEIRO</t>
        </is>
      </c>
      <c r="B10" s="20" t="inlineStr">
        <is>
          <t>MAGAZINE LUIZA S/A</t>
        </is>
      </c>
      <c r="C10" s="20" t="inlineStr">
        <is>
          <t>2/10</t>
        </is>
      </c>
      <c r="D10" s="20" t="inlineStr">
        <is>
          <t>CARTAO DE CREDITO</t>
        </is>
      </c>
      <c r="E10" s="21" t="n">
        <v>46177</v>
      </c>
      <c r="F10" s="21" t="n">
        <v>46177</v>
      </c>
      <c r="G10" s="21" t="n">
        <v>46177</v>
      </c>
      <c r="H10" s="22" t="n">
        <v>6299</v>
      </c>
    </row>
    <row r="11">
      <c r="A11" s="20" t="inlineStr">
        <is>
          <t>FINANCEIRO</t>
        </is>
      </c>
      <c r="B11" s="20" t="inlineStr">
        <is>
          <t>MAGAZINE LUIZA S/A</t>
        </is>
      </c>
      <c r="C11" s="20" t="inlineStr">
        <is>
          <t>3/10</t>
        </is>
      </c>
      <c r="D11" s="20" t="inlineStr">
        <is>
          <t>CARTAO DE CREDITO</t>
        </is>
      </c>
      <c r="E11" s="21" t="n">
        <v>46177</v>
      </c>
      <c r="F11" s="21" t="n">
        <v>46177</v>
      </c>
      <c r="G11" s="21" t="n">
        <v>46177</v>
      </c>
      <c r="H11" s="22" t="n">
        <v>6299</v>
      </c>
    </row>
    <row r="12">
      <c r="A12" s="20" t="inlineStr">
        <is>
          <t>FINANCEIRO</t>
        </is>
      </c>
      <c r="B12" s="20" t="inlineStr">
        <is>
          <t>MAGAZINE LUIZA S/A</t>
        </is>
      </c>
      <c r="C12" s="20" t="inlineStr">
        <is>
          <t>4/10</t>
        </is>
      </c>
      <c r="D12" s="20" t="inlineStr">
        <is>
          <t>CARTAO DE CREDITO</t>
        </is>
      </c>
      <c r="E12" s="21" t="n">
        <v>46177</v>
      </c>
      <c r="F12" s="21" t="n">
        <v>46177</v>
      </c>
      <c r="G12" s="21" t="n">
        <v>46177</v>
      </c>
      <c r="H12" s="22" t="n">
        <v>6299</v>
      </c>
    </row>
    <row r="13">
      <c r="A13" s="20" t="inlineStr">
        <is>
          <t>FINANCEIRO</t>
        </is>
      </c>
      <c r="B13" s="20" t="inlineStr">
        <is>
          <t>MAGAZINE LUIZA S/A</t>
        </is>
      </c>
      <c r="C13" s="20" t="inlineStr">
        <is>
          <t>5/10</t>
        </is>
      </c>
      <c r="D13" s="20" t="inlineStr">
        <is>
          <t>CARTAO DE CREDITO</t>
        </is>
      </c>
      <c r="E13" s="21" t="n">
        <v>46177</v>
      </c>
      <c r="F13" s="21" t="n">
        <v>46177</v>
      </c>
      <c r="G13" s="21" t="n">
        <v>46177</v>
      </c>
      <c r="H13" s="22" t="n">
        <v>6299</v>
      </c>
    </row>
    <row r="14">
      <c r="A14" s="20" t="inlineStr">
        <is>
          <t>FINANCEIRO</t>
        </is>
      </c>
      <c r="B14" s="20" t="inlineStr">
        <is>
          <t>MAGAZINE LUIZA S/A</t>
        </is>
      </c>
      <c r="C14" s="20" t="inlineStr">
        <is>
          <t>6/10</t>
        </is>
      </c>
      <c r="D14" s="20" t="inlineStr">
        <is>
          <t>CARTAO DE CREDITO</t>
        </is>
      </c>
      <c r="E14" s="21" t="n">
        <v>46177</v>
      </c>
      <c r="F14" s="21" t="n">
        <v>46177</v>
      </c>
      <c r="G14" s="21" t="n">
        <v>46177</v>
      </c>
      <c r="H14" s="22" t="n">
        <v>6299</v>
      </c>
    </row>
    <row r="15">
      <c r="A15" s="20" t="inlineStr">
        <is>
          <t>FINANCEIRO</t>
        </is>
      </c>
      <c r="B15" s="20" t="inlineStr">
        <is>
          <t>MAGAZINE LUIZA S/A</t>
        </is>
      </c>
      <c r="C15" s="20" t="inlineStr">
        <is>
          <t>7/10</t>
        </is>
      </c>
      <c r="D15" s="20" t="inlineStr">
        <is>
          <t>CARTAO DE CREDITO</t>
        </is>
      </c>
      <c r="E15" s="21" t="n">
        <v>46177</v>
      </c>
      <c r="F15" s="21" t="n">
        <v>46177</v>
      </c>
      <c r="G15" s="21" t="n">
        <v>46177</v>
      </c>
      <c r="H15" s="22" t="n">
        <v>6299</v>
      </c>
    </row>
    <row r="16">
      <c r="A16" s="20" t="inlineStr">
        <is>
          <t>FINANCEIRO</t>
        </is>
      </c>
      <c r="B16" s="20" t="inlineStr">
        <is>
          <t>MAGAZINE LUIZA S/A</t>
        </is>
      </c>
      <c r="C16" s="20" t="inlineStr">
        <is>
          <t>8/10</t>
        </is>
      </c>
      <c r="D16" s="20" t="inlineStr">
        <is>
          <t>CARTAO DE CREDITO</t>
        </is>
      </c>
      <c r="E16" s="21" t="n">
        <v>46177</v>
      </c>
      <c r="F16" s="21" t="n">
        <v>46177</v>
      </c>
      <c r="G16" s="21" t="n">
        <v>46177</v>
      </c>
      <c r="H16" s="22" t="n">
        <v>6299</v>
      </c>
    </row>
    <row r="17">
      <c r="A17" s="20" t="inlineStr">
        <is>
          <t>FINANCEIRO</t>
        </is>
      </c>
      <c r="B17" s="20" t="inlineStr">
        <is>
          <t>MAGAZINE LUIZA S/A</t>
        </is>
      </c>
      <c r="C17" s="20" t="inlineStr">
        <is>
          <t>9/10</t>
        </is>
      </c>
      <c r="D17" s="20" t="inlineStr">
        <is>
          <t>CARTAO DE CREDITO</t>
        </is>
      </c>
      <c r="E17" s="21" t="n">
        <v>46177</v>
      </c>
      <c r="F17" s="21" t="n">
        <v>46177</v>
      </c>
      <c r="G17" s="21" t="n">
        <v>46177</v>
      </c>
      <c r="H17" s="22" t="n">
        <v>6299</v>
      </c>
    </row>
    <row r="18">
      <c r="A18" s="20" t="inlineStr">
        <is>
          <t>FINANCEIRO</t>
        </is>
      </c>
      <c r="B18" s="20" t="inlineStr">
        <is>
          <t>MAGAZINE LUIZA S/A</t>
        </is>
      </c>
      <c r="C18" s="20" t="inlineStr">
        <is>
          <t>10/10</t>
        </is>
      </c>
      <c r="D18" s="20" t="inlineStr">
        <is>
          <t>CARTAO DE CREDITO</t>
        </is>
      </c>
      <c r="E18" s="21" t="n">
        <v>46177</v>
      </c>
      <c r="F18" s="21" t="n">
        <v>46177</v>
      </c>
      <c r="G18" s="21" t="n">
        <v>46177</v>
      </c>
      <c r="H18" s="22" t="n">
        <v>6299</v>
      </c>
    </row>
    <row r="19">
      <c r="A19" s="20" t="inlineStr">
        <is>
          <t>FINANCEIRO</t>
        </is>
      </c>
      <c r="B19" s="20" t="inlineStr">
        <is>
          <t>EMPRESA BRASILEIRA DE BENEFICIOS E PAGAMENTOS INSTITUICAO DE PAGAMENTO LTDA</t>
        </is>
      </c>
      <c r="C19" s="20" t="inlineStr">
        <is>
          <t>1/1</t>
        </is>
      </c>
      <c r="D19" s="20" t="inlineStr">
        <is>
          <t>ITAU</t>
        </is>
      </c>
      <c r="E19" s="21" t="n">
        <v>46170</v>
      </c>
      <c r="F19" s="21" t="n">
        <v>46170</v>
      </c>
      <c r="G19" s="21" t="n">
        <v>46174</v>
      </c>
      <c r="H19" s="22" t="n">
        <v>5414.4</v>
      </c>
    </row>
    <row r="20">
      <c r="A20" s="20" t="inlineStr">
        <is>
          <t>FINANCEIRO</t>
        </is>
      </c>
      <c r="B20" s="20" t="inlineStr">
        <is>
          <t>BR COMERCIO DE TINTAS, MATERIAIS DE CONSTRUCAO E SERVICOS DE MAO DE OBRA LTDA</t>
        </is>
      </c>
      <c r="C20" s="20" t="inlineStr">
        <is>
          <t>1/1</t>
        </is>
      </c>
      <c r="D20" s="20" t="inlineStr">
        <is>
          <t>ITAU</t>
        </is>
      </c>
      <c r="E20" s="21" t="n">
        <v>46196</v>
      </c>
      <c r="F20" s="21" t="n">
        <v>46196</v>
      </c>
      <c r="G20" s="21" t="n">
        <v>46196</v>
      </c>
      <c r="H20" s="22" t="n">
        <v>5000</v>
      </c>
    </row>
    <row r="21">
      <c r="A21" s="20" t="inlineStr">
        <is>
          <t>FINANCEIRO</t>
        </is>
      </c>
      <c r="B21" s="20" t="inlineStr">
        <is>
          <t>SINDICATO DOS EMPREGADOS NO COMERCIO HOTELEIRO E SIMILARES DE SAO PAULO</t>
        </is>
      </c>
      <c r="C21" s="20" t="inlineStr">
        <is>
          <t>1/1</t>
        </is>
      </c>
      <c r="D21" s="20" t="inlineStr">
        <is>
          <t>ITAU</t>
        </is>
      </c>
      <c r="E21" s="21" t="n">
        <v>46211</v>
      </c>
      <c r="F21" s="21" t="n">
        <v>46211</v>
      </c>
      <c r="G21" s="21" t="n">
        <v>46203</v>
      </c>
      <c r="H21" s="22" t="n">
        <v>4245.26</v>
      </c>
    </row>
    <row r="22">
      <c r="A22" s="20" t="inlineStr">
        <is>
          <t>DANFE</t>
        </is>
      </c>
      <c r="B22" s="20" t="inlineStr">
        <is>
          <t>MISTRAL IMPORTADORA LTDA</t>
        </is>
      </c>
      <c r="C22" s="20" t="inlineStr">
        <is>
          <t>2/2</t>
        </is>
      </c>
      <c r="D22" s="20" t="inlineStr">
        <is>
          <t>ITAU</t>
        </is>
      </c>
      <c r="E22" s="21" t="n">
        <v>46196</v>
      </c>
      <c r="F22" s="21" t="n">
        <v>46195</v>
      </c>
      <c r="G22" s="21" t="n">
        <v>46196</v>
      </c>
      <c r="H22" s="22" t="n">
        <v>4243.89</v>
      </c>
    </row>
    <row r="23">
      <c r="A23" s="20" t="inlineStr">
        <is>
          <t>FINANCEIRO</t>
        </is>
      </c>
      <c r="B23" s="20" t="inlineStr">
        <is>
          <t>OUTROS SERVICOS</t>
        </is>
      </c>
      <c r="C23" s="20" t="inlineStr">
        <is>
          <t>1/1</t>
        </is>
      </c>
      <c r="D23" s="20" t="inlineStr">
        <is>
          <t>ITAU</t>
        </is>
      </c>
      <c r="E23" s="21" t="n">
        <v>46199</v>
      </c>
      <c r="F23" s="21" t="n">
        <v>46199</v>
      </c>
      <c r="G23" s="21" t="n">
        <v>46198</v>
      </c>
      <c r="H23" s="22" t="n">
        <v>4200</v>
      </c>
    </row>
    <row r="24">
      <c r="A24" s="20" t="inlineStr">
        <is>
          <t>DANFE</t>
        </is>
      </c>
      <c r="B24" s="20" t="inlineStr">
        <is>
          <t>MISTRAL IMPORTADORA LTDA</t>
        </is>
      </c>
      <c r="C24" s="20" t="inlineStr">
        <is>
          <t>2/2</t>
        </is>
      </c>
      <c r="D24" s="20" t="inlineStr">
        <is>
          <t>ITAU</t>
        </is>
      </c>
      <c r="E24" s="21" t="n">
        <v>46185</v>
      </c>
      <c r="F24" s="21" t="n">
        <v>46185</v>
      </c>
      <c r="G24" s="21" t="n">
        <v>46185</v>
      </c>
      <c r="H24" s="22" t="n">
        <v>3370.6</v>
      </c>
    </row>
    <row r="25">
      <c r="A25" s="20" t="inlineStr">
        <is>
          <t>FINANCEIRO</t>
        </is>
      </c>
      <c r="B25" s="20" t="inlineStr">
        <is>
          <t>ZINGER GONZALEZ SOCIEDADE DE ADVOGADOS</t>
        </is>
      </c>
      <c r="C25" s="20" t="inlineStr">
        <is>
          <t>1/1</t>
        </is>
      </c>
      <c r="D25" s="20" t="inlineStr">
        <is>
          <t>ITAU</t>
        </is>
      </c>
      <c r="E25" s="21" t="n">
        <v>46191</v>
      </c>
      <c r="F25" s="21" t="n">
        <v>46191</v>
      </c>
      <c r="G25" s="21" t="n">
        <v>46178</v>
      </c>
      <c r="H25" s="22" t="n">
        <v>3242</v>
      </c>
    </row>
    <row r="26">
      <c r="A26" s="20" t="inlineStr">
        <is>
          <t>FINANCEIRO</t>
        </is>
      </c>
      <c r="B26" s="20" t="inlineStr">
        <is>
          <t>AGENCIA LINKADAS</t>
        </is>
      </c>
      <c r="C26" s="20" t="inlineStr">
        <is>
          <t>1/1</t>
        </is>
      </c>
      <c r="D26" s="20" t="inlineStr">
        <is>
          <t>ITAU</t>
        </is>
      </c>
      <c r="E26" s="21" t="n">
        <v>46195</v>
      </c>
      <c r="F26" s="21" t="n">
        <v>46195</v>
      </c>
      <c r="G26" s="21" t="n">
        <v>46174</v>
      </c>
      <c r="H26" s="22" t="n">
        <v>3000</v>
      </c>
    </row>
    <row r="27">
      <c r="A27" s="20" t="inlineStr">
        <is>
          <t>FINANCEIRO</t>
        </is>
      </c>
      <c r="B27" s="20" t="inlineStr">
        <is>
          <t>ACORDO JUDICIAL</t>
        </is>
      </c>
      <c r="C27" s="20" t="inlineStr">
        <is>
          <t>1/1</t>
        </is>
      </c>
      <c r="D27" s="20" t="inlineStr">
        <is>
          <t>ITAU</t>
        </is>
      </c>
      <c r="E27" s="21" t="n">
        <v>46192</v>
      </c>
      <c r="F27" s="21" t="n">
        <v>46192</v>
      </c>
      <c r="G27" s="21" t="n">
        <v>46192</v>
      </c>
      <c r="H27" s="22" t="n">
        <v>3000</v>
      </c>
    </row>
    <row r="28">
      <c r="A28" s="20" t="inlineStr">
        <is>
          <t>DANFE</t>
        </is>
      </c>
      <c r="B28" s="20" t="inlineStr">
        <is>
          <t>MISTRAL IMPORTADORA LTDA</t>
        </is>
      </c>
      <c r="C28" s="20" t="inlineStr">
        <is>
          <t>2/2</t>
        </is>
      </c>
      <c r="D28" s="20" t="inlineStr">
        <is>
          <t>ITAU</t>
        </is>
      </c>
      <c r="E28" s="21" t="n">
        <v>46191</v>
      </c>
      <c r="F28" s="21" t="n">
        <v>46189</v>
      </c>
      <c r="G28" s="21" t="n">
        <v>46191</v>
      </c>
      <c r="H28" s="22" t="n">
        <v>2872.19</v>
      </c>
    </row>
    <row r="29">
      <c r="A29" s="20" t="inlineStr">
        <is>
          <t>DANFE</t>
        </is>
      </c>
      <c r="B29" s="20" t="inlineStr">
        <is>
          <t>AMBEV S.A.</t>
        </is>
      </c>
      <c r="C29" s="20" t="inlineStr">
        <is>
          <t>1/1</t>
        </is>
      </c>
      <c r="D29" s="20" t="inlineStr">
        <is>
          <t>ITAU</t>
        </is>
      </c>
      <c r="E29" s="21" t="n">
        <v>46185</v>
      </c>
      <c r="F29" s="21" t="n">
        <v>46184</v>
      </c>
      <c r="G29" s="21" t="n">
        <v>46185</v>
      </c>
      <c r="H29" s="22" t="n">
        <v>2862.94</v>
      </c>
    </row>
    <row r="30">
      <c r="A30" s="20" t="inlineStr">
        <is>
          <t>FINANCEIRO</t>
        </is>
      </c>
      <c r="B30" s="20" t="inlineStr">
        <is>
          <t>FRANCISCO JOCELIO SOARES DE SOUZA</t>
        </is>
      </c>
      <c r="C30" s="20" t="inlineStr">
        <is>
          <t>1/1</t>
        </is>
      </c>
      <c r="D30" s="20" t="inlineStr">
        <is>
          <t>ITAU</t>
        </is>
      </c>
      <c r="E30" s="21" t="n">
        <v>46183</v>
      </c>
      <c r="F30" s="21" t="n">
        <v>46183</v>
      </c>
      <c r="G30" s="21" t="n">
        <v>46183</v>
      </c>
      <c r="H30" s="22" t="n">
        <v>2666.66</v>
      </c>
    </row>
    <row r="31">
      <c r="A31" s="20" t="inlineStr">
        <is>
          <t>FINANCEIRO</t>
        </is>
      </c>
      <c r="B31" s="20" t="inlineStr">
        <is>
          <t>FRANCISCO JOCELIO SOARES DE SOUZA</t>
        </is>
      </c>
      <c r="C31" s="20" t="inlineStr">
        <is>
          <t>1/1</t>
        </is>
      </c>
      <c r="D31" s="20" t="inlineStr">
        <is>
          <t>ITAU</t>
        </is>
      </c>
      <c r="E31" s="21" t="n">
        <v>46216</v>
      </c>
      <c r="F31" s="21" t="n">
        <v>46216</v>
      </c>
      <c r="G31" s="21" t="n">
        <v>46183</v>
      </c>
      <c r="H31" s="22" t="n">
        <v>2666.66</v>
      </c>
    </row>
    <row r="32">
      <c r="A32" s="20" t="inlineStr">
        <is>
          <t>FINANCEIRO</t>
        </is>
      </c>
      <c r="B32" s="20" t="inlineStr">
        <is>
          <t>OMEGA ADMINISTRADORA DE BENEFICIOS LTDA</t>
        </is>
      </c>
      <c r="C32" s="20" t="inlineStr">
        <is>
          <t>1/1</t>
        </is>
      </c>
      <c r="D32" s="20" t="inlineStr">
        <is>
          <t>ITAU</t>
        </is>
      </c>
      <c r="E32" s="21" t="n">
        <v>46196</v>
      </c>
      <c r="F32" s="21" t="n">
        <v>46196</v>
      </c>
      <c r="G32" s="21" t="n">
        <v>46196</v>
      </c>
      <c r="H32" s="22" t="n">
        <v>2624.4</v>
      </c>
    </row>
    <row r="33">
      <c r="A33" s="20" t="inlineStr">
        <is>
          <t>FINANCEIRO</t>
        </is>
      </c>
      <c r="B33" s="20" t="inlineStr">
        <is>
          <t>CIA DE SANEAMENTO BASICO DO ESTADO DE SAO PAULO SABESP</t>
        </is>
      </c>
      <c r="C33" s="20" t="inlineStr">
        <is>
          <t>1/1</t>
        </is>
      </c>
      <c r="D33" s="20" t="inlineStr">
        <is>
          <t>ITAU</t>
        </is>
      </c>
      <c r="E33" s="21" t="n">
        <v>46195</v>
      </c>
      <c r="F33" s="21" t="n">
        <v>46195</v>
      </c>
      <c r="G33" s="21" t="n">
        <v>46195</v>
      </c>
      <c r="H33" s="22" t="n">
        <v>2583.92</v>
      </c>
    </row>
    <row r="34">
      <c r="A34" s="20" t="inlineStr">
        <is>
          <t>FINANCEIRO</t>
        </is>
      </c>
      <c r="B34" s="20" t="inlineStr">
        <is>
          <t>MULTILIXO REMOCOES DE LIXO LTDA</t>
        </is>
      </c>
      <c r="C34" s="20" t="inlineStr">
        <is>
          <t>1/1</t>
        </is>
      </c>
      <c r="D34" s="20" t="inlineStr">
        <is>
          <t>ITAU</t>
        </is>
      </c>
      <c r="E34" s="21" t="n">
        <v>46206</v>
      </c>
      <c r="F34" s="21" t="n">
        <v>46206</v>
      </c>
      <c r="G34" s="21" t="n">
        <v>46202</v>
      </c>
      <c r="H34" s="22" t="n">
        <v>2248.43</v>
      </c>
    </row>
    <row r="35">
      <c r="A35" s="20" t="inlineStr">
        <is>
          <t>FINANCEIRO</t>
        </is>
      </c>
      <c r="B35" s="20" t="inlineStr">
        <is>
          <t>PRESTACAO DE SERVICOS - PJ</t>
        </is>
      </c>
      <c r="C35" s="20" t="inlineStr">
        <is>
          <t>1/1</t>
        </is>
      </c>
      <c r="D35" s="20" t="inlineStr">
        <is>
          <t>ITAU</t>
        </is>
      </c>
      <c r="E35" s="21" t="n">
        <v>46203</v>
      </c>
      <c r="F35" s="21" t="n">
        <v>46203</v>
      </c>
      <c r="G35" s="21" t="n">
        <v>46203</v>
      </c>
      <c r="H35" s="22" t="n">
        <v>2171</v>
      </c>
    </row>
    <row r="36">
      <c r="A36" s="20" t="inlineStr">
        <is>
          <t>DANFE</t>
        </is>
      </c>
      <c r="B36" s="20" t="inlineStr">
        <is>
          <t>PC GAMER INFO INFORMATICA LTDA</t>
        </is>
      </c>
      <c r="C36" s="20" t="inlineStr">
        <is>
          <t>1/10</t>
        </is>
      </c>
      <c r="D36" s="20" t="inlineStr">
        <is>
          <t>CARTAO DE CREDITO</t>
        </is>
      </c>
      <c r="E36" s="21" t="n">
        <v>46181</v>
      </c>
      <c r="F36" s="21" t="n">
        <v>46180</v>
      </c>
      <c r="G36" s="21" t="n">
        <v>46181</v>
      </c>
      <c r="H36" s="22" t="n">
        <v>1811.4</v>
      </c>
    </row>
    <row r="37">
      <c r="A37" s="20" t="inlineStr">
        <is>
          <t>DANFE</t>
        </is>
      </c>
      <c r="B37" s="20" t="inlineStr">
        <is>
          <t>PC GAMER INFO INFORMATICA LTDA</t>
        </is>
      </c>
      <c r="C37" s="20" t="inlineStr">
        <is>
          <t>2/10</t>
        </is>
      </c>
      <c r="D37" s="20" t="inlineStr">
        <is>
          <t>CARTAO DE CREDITO</t>
        </is>
      </c>
      <c r="E37" s="21" t="n">
        <v>46181</v>
      </c>
      <c r="F37" s="21" t="n">
        <v>46180</v>
      </c>
      <c r="G37" s="21" t="n">
        <v>46181</v>
      </c>
      <c r="H37" s="22" t="n">
        <v>1811.4</v>
      </c>
    </row>
    <row r="38">
      <c r="A38" s="20" t="inlineStr">
        <is>
          <t>DANFE</t>
        </is>
      </c>
      <c r="B38" s="20" t="inlineStr">
        <is>
          <t>PC GAMER INFO INFORMATICA LTDA</t>
        </is>
      </c>
      <c r="C38" s="20" t="inlineStr">
        <is>
          <t>3/10</t>
        </is>
      </c>
      <c r="D38" s="20" t="inlineStr">
        <is>
          <t>CARTAO DE CREDITO</t>
        </is>
      </c>
      <c r="E38" s="21" t="n">
        <v>46181</v>
      </c>
      <c r="F38" s="21" t="n">
        <v>46180</v>
      </c>
      <c r="G38" s="21" t="n">
        <v>46181</v>
      </c>
      <c r="H38" s="22" t="n">
        <v>1811.4</v>
      </c>
    </row>
    <row r="39">
      <c r="A39" s="20" t="inlineStr">
        <is>
          <t>DANFE</t>
        </is>
      </c>
      <c r="B39" s="20" t="inlineStr">
        <is>
          <t>PC GAMER INFO INFORMATICA LTDA</t>
        </is>
      </c>
      <c r="C39" s="20" t="inlineStr">
        <is>
          <t>4/10</t>
        </is>
      </c>
      <c r="D39" s="20" t="inlineStr">
        <is>
          <t>CARTAO DE CREDITO</t>
        </is>
      </c>
      <c r="E39" s="21" t="n">
        <v>46181</v>
      </c>
      <c r="F39" s="21" t="n">
        <v>46180</v>
      </c>
      <c r="G39" s="21" t="n">
        <v>46181</v>
      </c>
      <c r="H39" s="22" t="n">
        <v>1811.4</v>
      </c>
    </row>
    <row r="40">
      <c r="A40" s="20" t="inlineStr">
        <is>
          <t>DANFE</t>
        </is>
      </c>
      <c r="B40" s="20" t="inlineStr">
        <is>
          <t>PC GAMER INFO INFORMATICA LTDA</t>
        </is>
      </c>
      <c r="C40" s="20" t="inlineStr">
        <is>
          <t>5/10</t>
        </is>
      </c>
      <c r="D40" s="20" t="inlineStr">
        <is>
          <t>CARTAO DE CREDITO</t>
        </is>
      </c>
      <c r="E40" s="21" t="n">
        <v>46181</v>
      </c>
      <c r="F40" s="21" t="n">
        <v>46180</v>
      </c>
      <c r="G40" s="21" t="n">
        <v>46181</v>
      </c>
      <c r="H40" s="22" t="n">
        <v>1811.4</v>
      </c>
    </row>
    <row r="41">
      <c r="A41" s="20" t="inlineStr">
        <is>
          <t>DANFE</t>
        </is>
      </c>
      <c r="B41" s="20" t="inlineStr">
        <is>
          <t>PC GAMER INFO INFORMATICA LTDA</t>
        </is>
      </c>
      <c r="C41" s="20" t="inlineStr">
        <is>
          <t>6/10</t>
        </is>
      </c>
      <c r="D41" s="20" t="inlineStr">
        <is>
          <t>CARTAO DE CREDITO</t>
        </is>
      </c>
      <c r="E41" s="21" t="n">
        <v>46181</v>
      </c>
      <c r="F41" s="21" t="n">
        <v>46180</v>
      </c>
      <c r="G41" s="21" t="n">
        <v>46181</v>
      </c>
      <c r="H41" s="22" t="n">
        <v>1811.4</v>
      </c>
    </row>
    <row r="42">
      <c r="A42" s="20" t="inlineStr">
        <is>
          <t>DANFE</t>
        </is>
      </c>
      <c r="B42" s="20" t="inlineStr">
        <is>
          <t>PC GAMER INFO INFORMATICA LTDA</t>
        </is>
      </c>
      <c r="C42" s="20" t="inlineStr">
        <is>
          <t>7/10</t>
        </is>
      </c>
      <c r="D42" s="20" t="inlineStr">
        <is>
          <t>CARTAO DE CREDITO</t>
        </is>
      </c>
      <c r="E42" s="21" t="n">
        <v>46181</v>
      </c>
      <c r="F42" s="21" t="n">
        <v>46180</v>
      </c>
      <c r="G42" s="21" t="n">
        <v>46181</v>
      </c>
      <c r="H42" s="22" t="n">
        <v>1811.4</v>
      </c>
    </row>
    <row r="43">
      <c r="A43" s="20" t="inlineStr">
        <is>
          <t>DANFE</t>
        </is>
      </c>
      <c r="B43" s="20" t="inlineStr">
        <is>
          <t>PC GAMER INFO INFORMATICA LTDA</t>
        </is>
      </c>
      <c r="C43" s="20" t="inlineStr">
        <is>
          <t>8/10</t>
        </is>
      </c>
      <c r="D43" s="20" t="inlineStr">
        <is>
          <t>CARTAO DE CREDITO</t>
        </is>
      </c>
      <c r="E43" s="21" t="n">
        <v>46181</v>
      </c>
      <c r="F43" s="21" t="n">
        <v>46180</v>
      </c>
      <c r="G43" s="21" t="n">
        <v>46181</v>
      </c>
      <c r="H43" s="22" t="n">
        <v>1811.4</v>
      </c>
    </row>
    <row r="44">
      <c r="A44" s="20" t="inlineStr">
        <is>
          <t>DANFE</t>
        </is>
      </c>
      <c r="B44" s="20" t="inlineStr">
        <is>
          <t>PC GAMER INFO INFORMATICA LTDA</t>
        </is>
      </c>
      <c r="C44" s="20" t="inlineStr">
        <is>
          <t>9/10</t>
        </is>
      </c>
      <c r="D44" s="20" t="inlineStr">
        <is>
          <t>CARTAO DE CREDITO</t>
        </is>
      </c>
      <c r="E44" s="21" t="n">
        <v>46181</v>
      </c>
      <c r="F44" s="21" t="n">
        <v>46180</v>
      </c>
      <c r="G44" s="21" t="n">
        <v>46181</v>
      </c>
      <c r="H44" s="22" t="n">
        <v>1811.4</v>
      </c>
    </row>
    <row r="45">
      <c r="A45" s="20" t="inlineStr">
        <is>
          <t>DANFE</t>
        </is>
      </c>
      <c r="B45" s="20" t="inlineStr">
        <is>
          <t>PC GAMER INFO INFORMATICA LTDA</t>
        </is>
      </c>
      <c r="C45" s="20" t="inlineStr">
        <is>
          <t>10/10</t>
        </is>
      </c>
      <c r="D45" s="20" t="inlineStr">
        <is>
          <t>CARTAO DE CREDITO</t>
        </is>
      </c>
      <c r="E45" s="21" t="n">
        <v>46181</v>
      </c>
      <c r="F45" s="21" t="n">
        <v>46180</v>
      </c>
      <c r="G45" s="21" t="n">
        <v>46181</v>
      </c>
      <c r="H45" s="22" t="n">
        <v>1811.4</v>
      </c>
    </row>
    <row r="46">
      <c r="A46" s="20" t="inlineStr">
        <is>
          <t>FINANCEIRO</t>
        </is>
      </c>
      <c r="B46" s="20" t="inlineStr">
        <is>
          <t>VIA NOVA SERVICOS LTDA</t>
        </is>
      </c>
      <c r="C46" s="20" t="inlineStr">
        <is>
          <t>1/1</t>
        </is>
      </c>
      <c r="D46" s="20" t="inlineStr">
        <is>
          <t>ITAU</t>
        </is>
      </c>
      <c r="E46" s="21" t="n">
        <v>46169</v>
      </c>
      <c r="F46" s="21" t="n">
        <v>46169</v>
      </c>
      <c r="G46" s="21" t="n">
        <v>46174</v>
      </c>
      <c r="H46" s="22" t="n">
        <v>1646.76</v>
      </c>
    </row>
    <row r="47">
      <c r="A47" s="20" t="inlineStr">
        <is>
          <t>DANFE</t>
        </is>
      </c>
      <c r="B47" s="20" t="inlineStr">
        <is>
          <t>FREIXENET BRASIL LTDA</t>
        </is>
      </c>
      <c r="C47" s="20" t="inlineStr">
        <is>
          <t>2/2</t>
        </is>
      </c>
      <c r="D47" s="20" t="inlineStr">
        <is>
          <t>ITAU</t>
        </is>
      </c>
      <c r="E47" s="21" t="n">
        <v>46183</v>
      </c>
      <c r="F47" s="21" t="n">
        <v>46181</v>
      </c>
      <c r="G47" s="21" t="n">
        <v>46183</v>
      </c>
      <c r="H47" s="22" t="n">
        <v>1623.17</v>
      </c>
    </row>
    <row r="48">
      <c r="A48" s="20" t="inlineStr">
        <is>
          <t>DANFE</t>
        </is>
      </c>
      <c r="B48" s="20" t="inlineStr">
        <is>
          <t>MEAT HUNTER IMPORT, EXPORT AND DISTRIBUTION LTDA.</t>
        </is>
      </c>
      <c r="C48" s="20" t="inlineStr">
        <is>
          <t>2/2</t>
        </is>
      </c>
      <c r="D48" s="20" t="inlineStr">
        <is>
          <t>ITAU</t>
        </is>
      </c>
      <c r="E48" s="21" t="n">
        <v>46182</v>
      </c>
      <c r="F48" s="21" t="n">
        <v>46181</v>
      </c>
      <c r="G48" s="21" t="n">
        <v>46182</v>
      </c>
      <c r="H48" s="22" t="n">
        <v>1604.66</v>
      </c>
    </row>
    <row r="49">
      <c r="A49" s="20" t="inlineStr">
        <is>
          <t>FINANCEIRO</t>
        </is>
      </c>
      <c r="B49" s="20" t="inlineStr">
        <is>
          <t>ACOM SISTEMAS CORPORATIVOS LTDA</t>
        </is>
      </c>
      <c r="C49" s="20" t="inlineStr">
        <is>
          <t>1/1</t>
        </is>
      </c>
      <c r="D49" s="20" t="inlineStr">
        <is>
          <t>ITAU</t>
        </is>
      </c>
      <c r="E49" s="21" t="n">
        <v>46191</v>
      </c>
      <c r="F49" s="21" t="n">
        <v>46191</v>
      </c>
      <c r="G49" s="21" t="n">
        <v>46191</v>
      </c>
      <c r="H49" s="22" t="n">
        <v>1485.86</v>
      </c>
    </row>
    <row r="50">
      <c r="A50" s="20" t="inlineStr">
        <is>
          <t>FINANCEIRO</t>
        </is>
      </c>
      <c r="B50" s="20" t="inlineStr">
        <is>
          <t>CONDOMINIO EDIFICIO CONSELHEIRO LAFAYETTE</t>
        </is>
      </c>
      <c r="C50" s="20" t="inlineStr">
        <is>
          <t>1/1</t>
        </is>
      </c>
      <c r="D50" s="20" t="inlineStr">
        <is>
          <t>ITAU</t>
        </is>
      </c>
      <c r="E50" s="21" t="n">
        <v>46171</v>
      </c>
      <c r="F50" s="21" t="n">
        <v>46171</v>
      </c>
      <c r="G50" s="21" t="n">
        <v>46174</v>
      </c>
      <c r="H50" s="22" t="n">
        <v>1480.69</v>
      </c>
    </row>
    <row r="51">
      <c r="A51" s="20" t="inlineStr">
        <is>
          <t>FINANCEIRO</t>
        </is>
      </c>
      <c r="B51" s="20" t="inlineStr">
        <is>
          <t>PROVIDIAN ASSESSORIA EMPRESARIAL LTDA</t>
        </is>
      </c>
      <c r="C51" s="20" t="inlineStr">
        <is>
          <t>1/1</t>
        </is>
      </c>
      <c r="D51" s="20" t="inlineStr">
        <is>
          <t>ITAU</t>
        </is>
      </c>
      <c r="E51" s="21" t="n">
        <v>46204</v>
      </c>
      <c r="F51" s="21" t="n">
        <v>46204</v>
      </c>
      <c r="G51" s="21" t="n">
        <v>46202</v>
      </c>
      <c r="H51" s="22" t="n">
        <v>1211.31</v>
      </c>
    </row>
    <row r="52">
      <c r="A52" s="20" t="inlineStr">
        <is>
          <t>DANFE</t>
        </is>
      </c>
      <c r="B52" s="20" t="inlineStr">
        <is>
          <t>ROCA EQUIPAMENTOS LTDA</t>
        </is>
      </c>
      <c r="C52" s="20" t="inlineStr">
        <is>
          <t>2/2</t>
        </is>
      </c>
      <c r="D52" s="20" t="inlineStr">
        <is>
          <t>ITAU</t>
        </is>
      </c>
      <c r="E52" s="21" t="n">
        <v>46185</v>
      </c>
      <c r="F52" s="21" t="n">
        <v>46184</v>
      </c>
      <c r="G52" s="21" t="n">
        <v>46185</v>
      </c>
      <c r="H52" s="22" t="n">
        <v>1008.05</v>
      </c>
    </row>
    <row r="53">
      <c r="A53" s="20" t="inlineStr">
        <is>
          <t>FINANCEIRO</t>
        </is>
      </c>
      <c r="B53" s="20" t="inlineStr">
        <is>
          <t>MMACR PRODUCOES LTDA</t>
        </is>
      </c>
      <c r="C53" s="20" t="inlineStr">
        <is>
          <t>1/1</t>
        </is>
      </c>
      <c r="D53" s="20" t="inlineStr">
        <is>
          <t>ITAU</t>
        </is>
      </c>
      <c r="E53" s="21" t="n">
        <v>46192</v>
      </c>
      <c r="F53" s="21" t="n">
        <v>46192</v>
      </c>
      <c r="G53" s="21" t="n">
        <v>46192</v>
      </c>
      <c r="H53" s="22" t="n">
        <v>1000</v>
      </c>
    </row>
    <row r="54">
      <c r="A54" s="17" t="inlineStr">
        <is>
          <t>FINANCEIRO</t>
        </is>
      </c>
      <c r="B54" s="17" t="inlineStr">
        <is>
          <t>HENRIQUE DOS SANTOS MOREIRA SISTEMAS</t>
        </is>
      </c>
      <c r="C54" s="17" t="inlineStr">
        <is>
          <t>1/1</t>
        </is>
      </c>
      <c r="D54" s="17" t="inlineStr">
        <is>
          <t>ITAU</t>
        </is>
      </c>
      <c r="E54" s="23" t="n">
        <v>46191</v>
      </c>
      <c r="F54" s="23" t="n">
        <v>46191</v>
      </c>
      <c r="G54" s="23" t="n">
        <v>46191</v>
      </c>
      <c r="H54" s="18" t="n">
        <v>990</v>
      </c>
    </row>
    <row r="55">
      <c r="A55" s="17" t="inlineStr">
        <is>
          <t>DANFE</t>
        </is>
      </c>
      <c r="B55" s="17" t="inlineStr">
        <is>
          <t>TONELERO GAS COMERCIO ACESSORIOS LTDA</t>
        </is>
      </c>
      <c r="C55" s="17" t="inlineStr">
        <is>
          <t>1/1</t>
        </is>
      </c>
      <c r="D55" s="17" t="inlineStr">
        <is>
          <t>ITAU</t>
        </is>
      </c>
      <c r="E55" s="23" t="n">
        <v>46196</v>
      </c>
      <c r="F55" s="23" t="n">
        <v>46195</v>
      </c>
      <c r="G55" s="23" t="n">
        <v>46196</v>
      </c>
      <c r="H55" s="18" t="n">
        <v>917</v>
      </c>
    </row>
    <row r="56">
      <c r="A56" s="17" t="inlineStr">
        <is>
          <t>FINANCEIRO</t>
        </is>
      </c>
      <c r="B56" s="17" t="inlineStr">
        <is>
          <t>PORTO SEGURO COMPANHIA DE SEGUROS GERAIS</t>
        </is>
      </c>
      <c r="C56" s="17" t="inlineStr">
        <is>
          <t>1/1</t>
        </is>
      </c>
      <c r="D56" s="17" t="inlineStr">
        <is>
          <t>ITAU</t>
        </is>
      </c>
      <c r="E56" s="23" t="n">
        <v>46181</v>
      </c>
      <c r="F56" s="23" t="n">
        <v>46181</v>
      </c>
      <c r="G56" s="23" t="n">
        <v>46175</v>
      </c>
      <c r="H56" s="18" t="n">
        <v>895.14</v>
      </c>
    </row>
    <row r="57">
      <c r="A57" s="17" t="inlineStr">
        <is>
          <t>DANFE</t>
        </is>
      </c>
      <c r="B57" s="17" t="inlineStr">
        <is>
          <t>TONELERO GAS COMERCIO ACESSORIOS LTDA</t>
        </is>
      </c>
      <c r="C57" s="17" t="inlineStr">
        <is>
          <t>1/1</t>
        </is>
      </c>
      <c r="D57" s="17" t="inlineStr">
        <is>
          <t>ITAU</t>
        </is>
      </c>
      <c r="E57" s="23" t="n">
        <v>46185</v>
      </c>
      <c r="F57" s="23" t="n">
        <v>46185</v>
      </c>
      <c r="G57" s="23" t="n">
        <v>46185</v>
      </c>
      <c r="H57" s="18" t="n">
        <v>875</v>
      </c>
    </row>
    <row r="58">
      <c r="A58" s="17" t="inlineStr">
        <is>
          <t>DANFE</t>
        </is>
      </c>
      <c r="B58" s="17" t="inlineStr">
        <is>
          <t>TONELERO GAS COMERCIO ACESSORIOS LTDA</t>
        </is>
      </c>
      <c r="C58" s="17" t="inlineStr">
        <is>
          <t>1/1</t>
        </is>
      </c>
      <c r="D58" s="17" t="inlineStr">
        <is>
          <t>ITAU</t>
        </is>
      </c>
      <c r="E58" s="23" t="n">
        <v>46188</v>
      </c>
      <c r="F58" s="23" t="n">
        <v>46188</v>
      </c>
      <c r="G58" s="23" t="n">
        <v>46188</v>
      </c>
      <c r="H58" s="18" t="n">
        <v>875</v>
      </c>
    </row>
    <row r="59">
      <c r="A59" s="17" t="inlineStr">
        <is>
          <t>FINANCEIRO</t>
        </is>
      </c>
      <c r="B59" s="17" t="inlineStr">
        <is>
          <t>CONDOMINIO EDIFICIO CONSELHEIRO LAFAYETTE</t>
        </is>
      </c>
      <c r="C59" s="17" t="inlineStr">
        <is>
          <t>1/1</t>
        </is>
      </c>
      <c r="D59" s="17" t="inlineStr">
        <is>
          <t>ITAU</t>
        </is>
      </c>
      <c r="E59" s="23" t="n">
        <v>46176</v>
      </c>
      <c r="F59" s="23" t="n">
        <v>46176</v>
      </c>
      <c r="G59" s="23" t="n">
        <v>46176</v>
      </c>
      <c r="H59" s="18" t="n">
        <v>870.53</v>
      </c>
    </row>
    <row r="60">
      <c r="A60" s="17" t="inlineStr">
        <is>
          <t>FINANCEIRO</t>
        </is>
      </c>
      <c r="B60" s="17" t="inlineStr">
        <is>
          <t>OFF PRAGAS DEDETIZADORA LTDA</t>
        </is>
      </c>
      <c r="C60" s="17" t="inlineStr">
        <is>
          <t>1/1</t>
        </is>
      </c>
      <c r="D60" s="17" t="inlineStr">
        <is>
          <t>ITAU</t>
        </is>
      </c>
      <c r="E60" s="23" t="n">
        <v>46181</v>
      </c>
      <c r="F60" s="23" t="n">
        <v>46181</v>
      </c>
      <c r="G60" s="23" t="n">
        <v>46174</v>
      </c>
      <c r="H60" s="18" t="n">
        <v>870</v>
      </c>
    </row>
    <row r="61">
      <c r="A61" s="17" t="inlineStr">
        <is>
          <t>FINANCEIRO</t>
        </is>
      </c>
      <c r="B61" s="17" t="inlineStr">
        <is>
          <t>DANIEL DE PAULA</t>
        </is>
      </c>
      <c r="C61" s="17" t="inlineStr">
        <is>
          <t>1/1</t>
        </is>
      </c>
      <c r="D61" s="17" t="inlineStr">
        <is>
          <t>ITAU</t>
        </is>
      </c>
      <c r="E61" s="23" t="n">
        <v>46192</v>
      </c>
      <c r="F61" s="23" t="n">
        <v>46192</v>
      </c>
      <c r="G61" s="23" t="n">
        <v>46192</v>
      </c>
      <c r="H61" s="18" t="n">
        <v>850</v>
      </c>
    </row>
    <row r="62">
      <c r="A62" s="17" t="inlineStr">
        <is>
          <t>DANFE</t>
        </is>
      </c>
      <c r="B62" s="17" t="inlineStr">
        <is>
          <t>FREIXENET BRASIL LTDA</t>
        </is>
      </c>
      <c r="C62" s="17" t="inlineStr">
        <is>
          <t>2/2</t>
        </is>
      </c>
      <c r="D62" s="17" t="inlineStr">
        <is>
          <t>ITAU</t>
        </is>
      </c>
      <c r="E62" s="23" t="n">
        <v>46199</v>
      </c>
      <c r="F62" s="23" t="n">
        <v>46196</v>
      </c>
      <c r="G62" s="23" t="n">
        <v>46199</v>
      </c>
      <c r="H62" s="18" t="n">
        <v>811.58</v>
      </c>
    </row>
    <row r="63">
      <c r="A63" s="17" t="inlineStr">
        <is>
          <t>FINANCEIRO</t>
        </is>
      </c>
      <c r="B63" s="17" t="inlineStr">
        <is>
          <t>PROVIDIAN ASSESSORIA EMPRESARIAL LTDA</t>
        </is>
      </c>
      <c r="C63" s="17" t="inlineStr">
        <is>
          <t>1/1</t>
        </is>
      </c>
      <c r="D63" s="17" t="inlineStr">
        <is>
          <t>ITAU</t>
        </is>
      </c>
      <c r="E63" s="23" t="n">
        <v>46204</v>
      </c>
      <c r="F63" s="23" t="n">
        <v>46204</v>
      </c>
      <c r="G63" s="23" t="n">
        <v>46202</v>
      </c>
      <c r="H63" s="18" t="n">
        <v>792.85</v>
      </c>
    </row>
    <row r="64">
      <c r="A64" s="17" t="inlineStr">
        <is>
          <t>DANFE</t>
        </is>
      </c>
      <c r="B64" s="17" t="inlineStr">
        <is>
          <t>EP BRASIL COMERCIO DE BEBIDAS E EVENTOS PROMOCIONAIS LTDA</t>
        </is>
      </c>
      <c r="C64" s="17" t="inlineStr">
        <is>
          <t>2/2</t>
        </is>
      </c>
      <c r="D64" s="17" t="inlineStr">
        <is>
          <t>ITAU</t>
        </is>
      </c>
      <c r="E64" s="23" t="n">
        <v>46185</v>
      </c>
      <c r="F64" s="23" t="n">
        <v>46184</v>
      </c>
      <c r="G64" s="23" t="n">
        <v>46185</v>
      </c>
      <c r="H64" s="18" t="n">
        <v>752.1</v>
      </c>
    </row>
    <row r="65">
      <c r="A65" s="17" t="inlineStr">
        <is>
          <t>FINANCEIRO</t>
        </is>
      </c>
      <c r="B65" s="17" t="inlineStr">
        <is>
          <t>LIDER WHITE LTDA</t>
        </is>
      </c>
      <c r="C65" s="17" t="inlineStr">
        <is>
          <t>1/1</t>
        </is>
      </c>
      <c r="D65" s="17" t="inlineStr">
        <is>
          <t>ITAU</t>
        </is>
      </c>
      <c r="E65" s="23" t="n">
        <v>46183</v>
      </c>
      <c r="F65" s="23" t="n">
        <v>46183</v>
      </c>
      <c r="G65" s="23" t="n">
        <v>46183</v>
      </c>
      <c r="H65" s="18" t="n">
        <v>679.25</v>
      </c>
    </row>
    <row r="66">
      <c r="A66" s="17" t="inlineStr">
        <is>
          <t>FINANCEIRO</t>
        </is>
      </c>
      <c r="B66" s="17" t="inlineStr">
        <is>
          <t>GOOGLE BRASIL INTERNET LTDA.</t>
        </is>
      </c>
      <c r="C66" s="17" t="inlineStr">
        <is>
          <t>1/1</t>
        </is>
      </c>
      <c r="D66" s="17" t="inlineStr">
        <is>
          <t>CARTAO DE CREDITO</t>
        </is>
      </c>
      <c r="E66" s="23" t="n">
        <v>46203</v>
      </c>
      <c r="F66" s="23" t="n">
        <v>46203</v>
      </c>
      <c r="G66" s="23" t="n">
        <v>46203</v>
      </c>
      <c r="H66" s="18" t="n">
        <v>656.4</v>
      </c>
    </row>
    <row r="67">
      <c r="A67" s="17" t="inlineStr">
        <is>
          <t>FINANCEIRO</t>
        </is>
      </c>
      <c r="B67" s="17" t="inlineStr">
        <is>
          <t>LILI SERVICOS DE APOIO A EMPRESAS LTDA</t>
        </is>
      </c>
      <c r="C67" s="17" t="inlineStr">
        <is>
          <t>1/1</t>
        </is>
      </c>
      <c r="D67" s="17" t="inlineStr">
        <is>
          <t>ITAU</t>
        </is>
      </c>
      <c r="E67" s="23" t="n">
        <v>46181</v>
      </c>
      <c r="F67" s="23" t="n">
        <v>46181</v>
      </c>
      <c r="G67" s="23" t="n">
        <v>46179</v>
      </c>
      <c r="H67" s="18" t="n">
        <v>650</v>
      </c>
    </row>
    <row r="68">
      <c r="A68" s="17" t="inlineStr">
        <is>
          <t>DANFE</t>
        </is>
      </c>
      <c r="B68" s="17" t="inlineStr">
        <is>
          <t>TONELERO GAS COMERCIO ACESSORIOS LTDA</t>
        </is>
      </c>
      <c r="C68" s="17" t="inlineStr">
        <is>
          <t>1/1</t>
        </is>
      </c>
      <c r="D68" s="17" t="inlineStr">
        <is>
          <t>ITAU</t>
        </is>
      </c>
      <c r="E68" s="23" t="n">
        <v>46175</v>
      </c>
      <c r="F68" s="23" t="n">
        <v>46174</v>
      </c>
      <c r="G68" s="23" t="n">
        <v>46175</v>
      </c>
      <c r="H68" s="18" t="n">
        <v>625</v>
      </c>
    </row>
    <row r="69">
      <c r="A69" s="17" t="inlineStr">
        <is>
          <t>DANFE</t>
        </is>
      </c>
      <c r="B69" s="17" t="inlineStr">
        <is>
          <t>TONELERO GAS COMERCIO ACESSORIOS LTDA</t>
        </is>
      </c>
      <c r="C69" s="17" t="inlineStr">
        <is>
          <t>1/1</t>
        </is>
      </c>
      <c r="D69" s="17" t="inlineStr">
        <is>
          <t>ITAU</t>
        </is>
      </c>
      <c r="E69" s="23" t="n">
        <v>46181</v>
      </c>
      <c r="F69" s="23" t="n">
        <v>46181</v>
      </c>
      <c r="G69" s="23" t="n">
        <v>46181</v>
      </c>
      <c r="H69" s="18" t="n">
        <v>625</v>
      </c>
    </row>
    <row r="70">
      <c r="A70" s="17" t="inlineStr">
        <is>
          <t>FINANCEIRO</t>
        </is>
      </c>
      <c r="B70" s="17" t="inlineStr">
        <is>
          <t>RESTOCLEAN DO BRASIL COMERCIO IMPORTACAO E EXPORTACAO LTDA</t>
        </is>
      </c>
      <c r="C70" s="17" t="inlineStr">
        <is>
          <t>1/1</t>
        </is>
      </c>
      <c r="D70" s="17" t="inlineStr">
        <is>
          <t>ITAU</t>
        </is>
      </c>
      <c r="E70" s="23" t="n">
        <v>46181</v>
      </c>
      <c r="F70" s="23" t="n">
        <v>46181</v>
      </c>
      <c r="G70" s="23" t="n">
        <v>46181</v>
      </c>
      <c r="H70" s="18" t="n">
        <v>600.64</v>
      </c>
    </row>
    <row r="71">
      <c r="A71" s="17" t="inlineStr">
        <is>
          <t>FINANCEIRO</t>
        </is>
      </c>
      <c r="B71" s="17" t="inlineStr">
        <is>
          <t>RESTAURANTE SEGURO VIGILANCIA ALIMENTAR LTDA</t>
        </is>
      </c>
      <c r="C71" s="17" t="inlineStr">
        <is>
          <t>1/1</t>
        </is>
      </c>
      <c r="D71" s="17" t="inlineStr">
        <is>
          <t>ITAU</t>
        </is>
      </c>
      <c r="E71" s="23" t="n">
        <v>46218</v>
      </c>
      <c r="F71" s="23" t="n">
        <v>46218</v>
      </c>
      <c r="G71" s="23" t="n">
        <v>46203</v>
      </c>
      <c r="H71" s="18" t="n">
        <v>580</v>
      </c>
    </row>
    <row r="72">
      <c r="A72" s="17" t="inlineStr">
        <is>
          <t>FINANCEIRO</t>
        </is>
      </c>
      <c r="B72" s="17" t="inlineStr">
        <is>
          <t>SAO PAULO TRANSPORTE S.A.</t>
        </is>
      </c>
      <c r="C72" s="17" t="inlineStr">
        <is>
          <t>1/1</t>
        </is>
      </c>
      <c r="D72" s="17" t="inlineStr">
        <is>
          <t>ITAU</t>
        </is>
      </c>
      <c r="E72" s="23" t="n">
        <v>46176</v>
      </c>
      <c r="F72" s="23" t="n">
        <v>46176</v>
      </c>
      <c r="G72" s="23" t="n">
        <v>46176</v>
      </c>
      <c r="H72" s="18" t="n">
        <v>521.52</v>
      </c>
    </row>
    <row r="73">
      <c r="A73" s="17" t="inlineStr">
        <is>
          <t>DANFE</t>
        </is>
      </c>
      <c r="B73" s="17" t="inlineStr">
        <is>
          <t>TONELERO GAS COMERCIO ACESSORIOS LTDA</t>
        </is>
      </c>
      <c r="C73" s="17" t="inlineStr">
        <is>
          <t>1/1</t>
        </is>
      </c>
      <c r="D73" s="17" t="inlineStr">
        <is>
          <t>ITAU</t>
        </is>
      </c>
      <c r="E73" s="23" t="n">
        <v>46196</v>
      </c>
      <c r="F73" s="23" t="n">
        <v>46195</v>
      </c>
      <c r="G73" s="23" t="n">
        <v>46196</v>
      </c>
      <c r="H73" s="18" t="n">
        <v>500</v>
      </c>
    </row>
    <row r="74">
      <c r="A74" s="17" t="inlineStr">
        <is>
          <t>FINANCEIRO</t>
        </is>
      </c>
      <c r="B74" s="17" t="inlineStr">
        <is>
          <t>PRESHH ALUGUEL DE MAQUINAS LTDA</t>
        </is>
      </c>
      <c r="C74" s="17" t="inlineStr">
        <is>
          <t>1/1</t>
        </is>
      </c>
      <c r="D74" s="17" t="inlineStr">
        <is>
          <t>ITAU</t>
        </is>
      </c>
      <c r="E74" s="23" t="n">
        <v>46206</v>
      </c>
      <c r="F74" s="23" t="n">
        <v>46206</v>
      </c>
      <c r="G74" s="23" t="n">
        <v>46203</v>
      </c>
      <c r="H74" s="18" t="n">
        <v>486</v>
      </c>
    </row>
    <row r="75">
      <c r="A75" s="17" t="inlineStr">
        <is>
          <t>FINANCEIRO</t>
        </is>
      </c>
      <c r="B75" s="17" t="inlineStr">
        <is>
          <t>SAO PAULO TRANSPORTE S.A.</t>
        </is>
      </c>
      <c r="C75" s="17" t="inlineStr">
        <is>
          <t>1/1</t>
        </is>
      </c>
      <c r="D75" s="17" t="inlineStr">
        <is>
          <t>ITAU</t>
        </is>
      </c>
      <c r="E75" s="23" t="n">
        <v>46184</v>
      </c>
      <c r="F75" s="23" t="n">
        <v>46184</v>
      </c>
      <c r="G75" s="23" t="n">
        <v>46184</v>
      </c>
      <c r="H75" s="18" t="n">
        <v>412.87</v>
      </c>
    </row>
    <row r="76">
      <c r="A76" s="17" t="inlineStr">
        <is>
          <t>FINANCEIRO</t>
        </is>
      </c>
      <c r="B76" s="17" t="inlineStr">
        <is>
          <t>WMB SUPERMERCADOS DO BRASIL LTDA.</t>
        </is>
      </c>
      <c r="C76" s="17" t="inlineStr">
        <is>
          <t>1/1</t>
        </is>
      </c>
      <c r="D76" s="17" t="inlineStr">
        <is>
          <t>CARTAO DE CREDITO</t>
        </is>
      </c>
      <c r="E76" s="23" t="n">
        <v>46183</v>
      </c>
      <c r="F76" s="23" t="n">
        <v>46183</v>
      </c>
      <c r="G76" s="23" t="n">
        <v>46183</v>
      </c>
      <c r="H76" s="18" t="n">
        <v>399.02</v>
      </c>
    </row>
    <row r="77">
      <c r="A77" s="17" t="inlineStr">
        <is>
          <t>DANFE</t>
        </is>
      </c>
      <c r="B77" s="17" t="inlineStr">
        <is>
          <t>LC GO FAST COMERCIO DE PRODUTOS LTDA</t>
        </is>
      </c>
      <c r="C77" s="17" t="inlineStr">
        <is>
          <t>1/1</t>
        </is>
      </c>
      <c r="D77" s="17" t="inlineStr">
        <is>
          <t>CARTAO DE CREDITO</t>
        </is>
      </c>
      <c r="E77" s="23" t="n">
        <v>46182</v>
      </c>
      <c r="F77" s="23" t="n">
        <v>46182</v>
      </c>
      <c r="G77" s="23" t="n">
        <v>46182</v>
      </c>
      <c r="H77" s="18" t="n">
        <v>397.32</v>
      </c>
    </row>
    <row r="78">
      <c r="A78" s="17" t="inlineStr">
        <is>
          <t>FINANCEIRO</t>
        </is>
      </c>
      <c r="B78" s="17" t="inlineStr">
        <is>
          <t>LILI SERVICOS DE APOIO A EMPRESAS LTDA</t>
        </is>
      </c>
      <c r="C78" s="17" t="inlineStr">
        <is>
          <t>1/1</t>
        </is>
      </c>
      <c r="D78" s="17" t="inlineStr">
        <is>
          <t>ITAU</t>
        </is>
      </c>
      <c r="E78" s="23" t="n">
        <v>46185</v>
      </c>
      <c r="F78" s="23" t="n">
        <v>46185</v>
      </c>
      <c r="G78" s="23" t="n">
        <v>46185</v>
      </c>
      <c r="H78" s="18" t="n">
        <v>376</v>
      </c>
    </row>
    <row r="79">
      <c r="A79" s="17" t="inlineStr">
        <is>
          <t>FINANCEIRO</t>
        </is>
      </c>
      <c r="B79" s="17" t="inlineStr">
        <is>
          <t>SLIM KITCHEN DESENVOLVIMENTO DE SISTEMAS E CONSULTORIA LTDA</t>
        </is>
      </c>
      <c r="C79" s="17" t="inlineStr">
        <is>
          <t>1/1</t>
        </is>
      </c>
      <c r="D79" s="17" t="inlineStr">
        <is>
          <t>ITAU</t>
        </is>
      </c>
      <c r="E79" s="23" t="n">
        <v>46175</v>
      </c>
      <c r="F79" s="23" t="n">
        <v>46175</v>
      </c>
      <c r="G79" s="23" t="n">
        <v>46174</v>
      </c>
      <c r="H79" s="18" t="n">
        <v>360</v>
      </c>
    </row>
    <row r="80">
      <c r="A80" s="17" t="inlineStr">
        <is>
          <t>FINANCEIRO</t>
        </is>
      </c>
      <c r="B80" s="17" t="inlineStr">
        <is>
          <t>WMB SUPERMERCADOS DO BRASIL LTDA.</t>
        </is>
      </c>
      <c r="C80" s="17" t="inlineStr">
        <is>
          <t>1/1</t>
        </is>
      </c>
      <c r="D80" s="17" t="inlineStr">
        <is>
          <t>CARTAO DE CREDITO</t>
        </is>
      </c>
      <c r="E80" s="23" t="n">
        <v>46165</v>
      </c>
      <c r="F80" s="23" t="n">
        <v>46165</v>
      </c>
      <c r="G80" s="23" t="n">
        <v>46196</v>
      </c>
      <c r="H80" s="18" t="n">
        <v>359.92</v>
      </c>
    </row>
    <row r="81">
      <c r="A81" s="17" t="inlineStr">
        <is>
          <t>DANFE</t>
        </is>
      </c>
      <c r="B81" s="17" t="inlineStr">
        <is>
          <t>JESUS DECOR DISTRIBUIDORA LTDA</t>
        </is>
      </c>
      <c r="C81" s="17" t="inlineStr">
        <is>
          <t>1/1</t>
        </is>
      </c>
      <c r="D81" s="17" t="inlineStr">
        <is>
          <t>ITAU</t>
        </is>
      </c>
      <c r="E81" s="23" t="n">
        <v>46182</v>
      </c>
      <c r="F81" s="23" t="n">
        <v>46181</v>
      </c>
      <c r="G81" s="23" t="n">
        <v>46182</v>
      </c>
      <c r="H81" s="18" t="n">
        <v>356.72</v>
      </c>
    </row>
    <row r="82">
      <c r="A82" s="17" t="inlineStr">
        <is>
          <t>FINANCEIRO</t>
        </is>
      </c>
      <c r="B82" s="17" t="inlineStr">
        <is>
          <t>OUTROS SERVICOS</t>
        </is>
      </c>
      <c r="C82" s="17" t="inlineStr">
        <is>
          <t>1/1</t>
        </is>
      </c>
      <c r="D82" s="17" t="inlineStr">
        <is>
          <t>ITAU</t>
        </is>
      </c>
      <c r="E82" s="23" t="n">
        <v>46189</v>
      </c>
      <c r="F82" s="23" t="n">
        <v>46189</v>
      </c>
      <c r="G82" s="23" t="n">
        <v>46189</v>
      </c>
      <c r="H82" s="18" t="n">
        <v>350</v>
      </c>
    </row>
    <row r="83">
      <c r="A83" s="17" t="inlineStr">
        <is>
          <t>DANFE</t>
        </is>
      </c>
      <c r="B83" s="17" t="inlineStr">
        <is>
          <t>QUALIVE IMPORTACAO E COMERCIO DE ALIMENTOS LTDA</t>
        </is>
      </c>
      <c r="C83" s="17" t="inlineStr">
        <is>
          <t>2/3</t>
        </is>
      </c>
      <c r="D83" s="17" t="inlineStr">
        <is>
          <t>ITAU</t>
        </is>
      </c>
      <c r="E83" s="23" t="n">
        <v>46175</v>
      </c>
      <c r="F83" s="23" t="n">
        <v>46174</v>
      </c>
      <c r="G83" s="23" t="n">
        <v>46175</v>
      </c>
      <c r="H83" s="18" t="n">
        <v>334.3</v>
      </c>
    </row>
    <row r="84">
      <c r="A84" s="17" t="inlineStr">
        <is>
          <t>DANFE</t>
        </is>
      </c>
      <c r="B84" s="17" t="inlineStr">
        <is>
          <t>QUALIVE IMPORTACAO E COMERCIO DE ALIMENTOS LTDA</t>
        </is>
      </c>
      <c r="C84" s="17" t="inlineStr">
        <is>
          <t>3/3</t>
        </is>
      </c>
      <c r="D84" s="17" t="inlineStr">
        <is>
          <t>ITAU</t>
        </is>
      </c>
      <c r="E84" s="23" t="n">
        <v>46175</v>
      </c>
      <c r="F84" s="23" t="n">
        <v>46174</v>
      </c>
      <c r="G84" s="23" t="n">
        <v>46175</v>
      </c>
      <c r="H84" s="18" t="n">
        <v>334.3</v>
      </c>
    </row>
    <row r="85">
      <c r="A85" s="17" t="inlineStr">
        <is>
          <t>FINANCEIRO</t>
        </is>
      </c>
      <c r="B85" s="17" t="inlineStr">
        <is>
          <t>VIRTUAL MARKET SERVICOS ELETRONICOS LTDA</t>
        </is>
      </c>
      <c r="C85" s="17" t="inlineStr">
        <is>
          <t>1/1</t>
        </is>
      </c>
      <c r="D85" s="17" t="inlineStr">
        <is>
          <t>ITAU</t>
        </is>
      </c>
      <c r="E85" s="23" t="n">
        <v>46183</v>
      </c>
      <c r="F85" s="23" t="n">
        <v>46183</v>
      </c>
      <c r="G85" s="23" t="n">
        <v>46183</v>
      </c>
      <c r="H85" s="18" t="n">
        <v>321.84</v>
      </c>
    </row>
    <row r="86">
      <c r="A86" s="17" t="inlineStr">
        <is>
          <t>DANFE</t>
        </is>
      </c>
      <c r="B86" s="17" t="inlineStr">
        <is>
          <t>QUALIVE IMPORTACAO E COMERCIO DE ALIMENTOS LTDA</t>
        </is>
      </c>
      <c r="C86" s="17" t="inlineStr">
        <is>
          <t>2/3</t>
        </is>
      </c>
      <c r="D86" s="17" t="inlineStr">
        <is>
          <t>ITAU</t>
        </is>
      </c>
      <c r="E86" s="23" t="n">
        <v>46189</v>
      </c>
      <c r="F86" s="23" t="n">
        <v>46188</v>
      </c>
      <c r="G86" s="23" t="n">
        <v>46189</v>
      </c>
      <c r="H86" s="18" t="n">
        <v>297.15</v>
      </c>
    </row>
    <row r="87">
      <c r="A87" s="17" t="inlineStr">
        <is>
          <t>DANFE</t>
        </is>
      </c>
      <c r="B87" s="17" t="inlineStr">
        <is>
          <t>QUALIVE IMPORTACAO E COMERCIO DE ALIMENTOS LTDA</t>
        </is>
      </c>
      <c r="C87" s="17" t="inlineStr">
        <is>
          <t>3/3</t>
        </is>
      </c>
      <c r="D87" s="17" t="inlineStr">
        <is>
          <t>ITAU</t>
        </is>
      </c>
      <c r="E87" s="23" t="n">
        <v>46189</v>
      </c>
      <c r="F87" s="23" t="n">
        <v>46188</v>
      </c>
      <c r="G87" s="23" t="n">
        <v>46189</v>
      </c>
      <c r="H87" s="18" t="n">
        <v>297.15</v>
      </c>
    </row>
    <row r="88">
      <c r="A88" s="17" t="inlineStr">
        <is>
          <t>DANFE</t>
        </is>
      </c>
      <c r="B88" s="17" t="inlineStr">
        <is>
          <t>NEMA HORTIFRUTI LTDA</t>
        </is>
      </c>
      <c r="C88" s="17" t="inlineStr">
        <is>
          <t>1/1</t>
        </is>
      </c>
      <c r="D88" s="17" t="inlineStr">
        <is>
          <t>ITAU</t>
        </is>
      </c>
      <c r="E88" s="23" t="n">
        <v>46182</v>
      </c>
      <c r="F88" s="23" t="n">
        <v>46182</v>
      </c>
      <c r="G88" s="23" t="n">
        <v>46182</v>
      </c>
      <c r="H88" s="18" t="n">
        <v>290</v>
      </c>
    </row>
    <row r="89">
      <c r="A89" s="17" t="inlineStr">
        <is>
          <t>FINANCEIRO</t>
        </is>
      </c>
      <c r="B89" s="17" t="inlineStr">
        <is>
          <t>AFRO DIAMOND LTDA</t>
        </is>
      </c>
      <c r="C89" s="17" t="inlineStr">
        <is>
          <t>1/1</t>
        </is>
      </c>
      <c r="D89" s="17" t="inlineStr">
        <is>
          <t>ITAU</t>
        </is>
      </c>
      <c r="E89" s="23" t="n">
        <v>46217</v>
      </c>
      <c r="F89" s="23" t="n">
        <v>46217</v>
      </c>
      <c r="G89" s="23" t="n">
        <v>46203</v>
      </c>
      <c r="H89" s="18" t="n">
        <v>290</v>
      </c>
    </row>
    <row r="90">
      <c r="A90" s="17" t="inlineStr">
        <is>
          <t>DANFE</t>
        </is>
      </c>
      <c r="B90" s="17" t="inlineStr">
        <is>
          <t>LC GO FAST COMERCIO DE PRODUTOS LTDA</t>
        </is>
      </c>
      <c r="C90" s="17" t="inlineStr">
        <is>
          <t>1/1</t>
        </is>
      </c>
      <c r="D90" s="17" t="inlineStr">
        <is>
          <t>CARTAO DE CREDITO</t>
        </is>
      </c>
      <c r="E90" s="23" t="n">
        <v>46182</v>
      </c>
      <c r="F90" s="23" t="n">
        <v>46182</v>
      </c>
      <c r="G90" s="23" t="n">
        <v>46182</v>
      </c>
      <c r="H90" s="18" t="n">
        <v>264.88</v>
      </c>
    </row>
    <row r="91">
      <c r="A91" s="17" t="inlineStr">
        <is>
          <t>FINANCEIRO</t>
        </is>
      </c>
      <c r="B91" s="17" t="inlineStr">
        <is>
          <t>CONTROLID INDUSTRIA, COMERCIO DE HARDWARE E SERVICOS DE TECNOLOGIA LTDA</t>
        </is>
      </c>
      <c r="C91" s="17" t="inlineStr">
        <is>
          <t>1/1</t>
        </is>
      </c>
      <c r="D91" s="17" t="inlineStr">
        <is>
          <t>ITAU</t>
        </is>
      </c>
      <c r="E91" s="23" t="n">
        <v>46195</v>
      </c>
      <c r="F91" s="23" t="n">
        <v>46195</v>
      </c>
      <c r="G91" s="23" t="n">
        <v>46195</v>
      </c>
      <c r="H91" s="18" t="n">
        <v>249.34</v>
      </c>
    </row>
    <row r="92">
      <c r="A92" s="17" t="inlineStr">
        <is>
          <t>FINANCEIRO</t>
        </is>
      </c>
      <c r="B92" s="17" t="inlineStr">
        <is>
          <t>SINDICATO DE RESTAURANTES, BARES E SIMILARES DE SAO PAULO</t>
        </is>
      </c>
      <c r="C92" s="17" t="inlineStr">
        <is>
          <t>1/1</t>
        </is>
      </c>
      <c r="D92" s="17" t="inlineStr">
        <is>
          <t>ITAU</t>
        </is>
      </c>
      <c r="E92" s="23" t="n">
        <v>46185</v>
      </c>
      <c r="F92" s="23" t="n">
        <v>46185</v>
      </c>
      <c r="G92" s="23" t="n">
        <v>46176</v>
      </c>
      <c r="H92" s="18" t="n">
        <v>240</v>
      </c>
    </row>
    <row r="93">
      <c r="A93" s="17" t="inlineStr">
        <is>
          <t>FINANCEIRO</t>
        </is>
      </c>
      <c r="B93" s="17" t="inlineStr">
        <is>
          <t>GET IN TECNOLOGIA LTDA</t>
        </is>
      </c>
      <c r="C93" s="17" t="inlineStr">
        <is>
          <t>1/1</t>
        </is>
      </c>
      <c r="D93" s="17" t="inlineStr">
        <is>
          <t>ITAU</t>
        </is>
      </c>
      <c r="E93" s="23" t="n">
        <v>46216</v>
      </c>
      <c r="F93" s="23" t="n">
        <v>46216</v>
      </c>
      <c r="G93" s="23" t="n">
        <v>46203</v>
      </c>
      <c r="H93" s="18" t="n">
        <v>239</v>
      </c>
    </row>
    <row r="94">
      <c r="A94" s="17" t="inlineStr">
        <is>
          <t>FINANCEIRO</t>
        </is>
      </c>
      <c r="B94" s="17" t="inlineStr">
        <is>
          <t>TFE/TFA</t>
        </is>
      </c>
      <c r="C94" s="17" t="inlineStr">
        <is>
          <t>1/1</t>
        </is>
      </c>
      <c r="D94" s="17" t="inlineStr">
        <is>
          <t>ITAU</t>
        </is>
      </c>
      <c r="E94" s="23" t="n">
        <v>46213</v>
      </c>
      <c r="F94" s="23" t="n">
        <v>46213</v>
      </c>
      <c r="G94" s="23" t="n">
        <v>46203</v>
      </c>
      <c r="H94" s="18" t="n">
        <v>236.35</v>
      </c>
    </row>
    <row r="95">
      <c r="A95" s="17" t="inlineStr">
        <is>
          <t>FINANCEIRO</t>
        </is>
      </c>
      <c r="B95" s="17" t="inlineStr">
        <is>
          <t>ESCRITORIO CENTRAL DE ARRECADACAO E DISTRIBUICAO ECAD</t>
        </is>
      </c>
      <c r="C95" s="17" t="inlineStr">
        <is>
          <t>1/1</t>
        </is>
      </c>
      <c r="D95" s="17" t="inlineStr">
        <is>
          <t>ITAU</t>
        </is>
      </c>
      <c r="E95" s="23" t="n">
        <v>46162</v>
      </c>
      <c r="F95" s="23" t="n">
        <v>46162</v>
      </c>
      <c r="G95" s="23" t="n">
        <v>46174</v>
      </c>
      <c r="H95" s="18" t="n">
        <v>225.35</v>
      </c>
    </row>
    <row r="96">
      <c r="A96" s="17" t="inlineStr">
        <is>
          <t>FINANCEIRO</t>
        </is>
      </c>
      <c r="B96" s="17" t="inlineStr">
        <is>
          <t>RYZE NEGOCIOS DIGITAIS LTDA</t>
        </is>
      </c>
      <c r="C96" s="17" t="inlineStr">
        <is>
          <t>1/1</t>
        </is>
      </c>
      <c r="D96" s="17" t="inlineStr">
        <is>
          <t>CARTAO DE CREDITO</t>
        </is>
      </c>
      <c r="E96" s="23" t="n">
        <v>46193</v>
      </c>
      <c r="F96" s="23" t="n">
        <v>46193</v>
      </c>
      <c r="G96" s="23" t="n">
        <v>46193</v>
      </c>
      <c r="H96" s="18" t="n">
        <v>207.17</v>
      </c>
    </row>
    <row r="97">
      <c r="A97" s="17" t="inlineStr">
        <is>
          <t>FINANCEIRO</t>
        </is>
      </c>
      <c r="B97" s="17" t="inlineStr">
        <is>
          <t>SAO PAULO TRANSPORTE S.A.</t>
        </is>
      </c>
      <c r="C97" s="17" t="inlineStr">
        <is>
          <t>1/1</t>
        </is>
      </c>
      <c r="D97" s="17" t="inlineStr">
        <is>
          <t>ITAU</t>
        </is>
      </c>
      <c r="E97" s="23" t="n">
        <v>46190</v>
      </c>
      <c r="F97" s="23" t="n">
        <v>46190</v>
      </c>
      <c r="G97" s="23" t="n">
        <v>46190</v>
      </c>
      <c r="H97" s="18" t="n">
        <v>200.74</v>
      </c>
    </row>
    <row r="98">
      <c r="A98" s="17" t="inlineStr">
        <is>
          <t>FINANCEIRO</t>
        </is>
      </c>
      <c r="B98" s="17" t="inlineStr">
        <is>
          <t>OUTROS SERVICOS</t>
        </is>
      </c>
      <c r="C98" s="17" t="inlineStr">
        <is>
          <t>1/1</t>
        </is>
      </c>
      <c r="D98" s="17" t="inlineStr">
        <is>
          <t>ITAU</t>
        </is>
      </c>
      <c r="E98" s="23" t="n">
        <v>46188</v>
      </c>
      <c r="F98" s="23" t="n">
        <v>46188</v>
      </c>
      <c r="G98" s="23" t="n">
        <v>46188</v>
      </c>
      <c r="H98" s="18" t="n">
        <v>200</v>
      </c>
    </row>
    <row r="99">
      <c r="A99" s="17" t="inlineStr">
        <is>
          <t>FINANCEIRO</t>
        </is>
      </c>
      <c r="B99" s="17" t="inlineStr">
        <is>
          <t>LWSA S/A</t>
        </is>
      </c>
      <c r="C99" s="17" t="inlineStr">
        <is>
          <t>1/1</t>
        </is>
      </c>
      <c r="D99" s="17" t="inlineStr">
        <is>
          <t>ITAU</t>
        </is>
      </c>
      <c r="E99" s="23" t="n">
        <v>46184</v>
      </c>
      <c r="F99" s="23" t="n">
        <v>46184</v>
      </c>
      <c r="G99" s="23" t="n">
        <v>46184</v>
      </c>
      <c r="H99" s="18" t="n">
        <v>174.4</v>
      </c>
    </row>
    <row r="100">
      <c r="A100" s="17" t="inlineStr">
        <is>
          <t>FINANCEIRO</t>
        </is>
      </c>
      <c r="B100" s="17" t="inlineStr">
        <is>
          <t>CLARO S.A.</t>
        </is>
      </c>
      <c r="C100" s="17" t="inlineStr">
        <is>
          <t>1/1</t>
        </is>
      </c>
      <c r="D100" s="17" t="inlineStr">
        <is>
          <t>ITAU</t>
        </is>
      </c>
      <c r="E100" s="23" t="n">
        <v>46205</v>
      </c>
      <c r="F100" s="23" t="n">
        <v>46205</v>
      </c>
      <c r="G100" s="23" t="n">
        <v>46203</v>
      </c>
      <c r="H100" s="18" t="n">
        <v>167.63</v>
      </c>
    </row>
    <row r="101">
      <c r="A101" s="17" t="inlineStr">
        <is>
          <t>FINANCEIRO</t>
        </is>
      </c>
      <c r="B101" s="17" t="inlineStr">
        <is>
          <t>TELEFONICA BRASIL S.A.</t>
        </is>
      </c>
      <c r="C101" s="17" t="inlineStr">
        <is>
          <t>1/1</t>
        </is>
      </c>
      <c r="D101" s="17" t="inlineStr">
        <is>
          <t>ITAU</t>
        </is>
      </c>
      <c r="E101" s="23" t="n">
        <v>46203</v>
      </c>
      <c r="F101" s="23" t="n">
        <v>46203</v>
      </c>
      <c r="G101" s="23" t="n">
        <v>46203</v>
      </c>
      <c r="H101" s="18" t="n">
        <v>166.65</v>
      </c>
    </row>
    <row r="102">
      <c r="A102" s="17" t="inlineStr">
        <is>
          <t>FINANCEIRO</t>
        </is>
      </c>
      <c r="B102" s="17" t="inlineStr">
        <is>
          <t>TELEFONICA BRASIL S.A.</t>
        </is>
      </c>
      <c r="C102" s="17" t="inlineStr">
        <is>
          <t>1/1</t>
        </is>
      </c>
      <c r="D102" s="17" t="inlineStr">
        <is>
          <t>CARTEIRA</t>
        </is>
      </c>
      <c r="E102" s="23" t="n">
        <v>46203</v>
      </c>
      <c r="F102" s="23" t="n">
        <v>46203</v>
      </c>
      <c r="G102" s="23" t="n">
        <v>46203</v>
      </c>
      <c r="H102" s="18" t="n">
        <v>163.79</v>
      </c>
    </row>
    <row r="103">
      <c r="A103" s="17" t="inlineStr">
        <is>
          <t>DANFE</t>
        </is>
      </c>
      <c r="B103" s="17" t="inlineStr">
        <is>
          <t>EBAZAR.COM.BR. LTDA</t>
        </is>
      </c>
      <c r="C103" s="17" t="inlineStr">
        <is>
          <t>1/1</t>
        </is>
      </c>
      <c r="D103" s="17" t="inlineStr">
        <is>
          <t>CARTAO DE CREDITO</t>
        </is>
      </c>
      <c r="E103" s="23" t="n">
        <v>46183</v>
      </c>
      <c r="F103" s="23" t="n">
        <v>46183</v>
      </c>
      <c r="G103" s="23" t="n">
        <v>46183</v>
      </c>
      <c r="H103" s="18" t="n">
        <v>159</v>
      </c>
    </row>
    <row r="104">
      <c r="A104" s="17" t="inlineStr">
        <is>
          <t>DANFE</t>
        </is>
      </c>
      <c r="B104" s="17" t="inlineStr">
        <is>
          <t>EBAZAR.COM.BR. LTDA</t>
        </is>
      </c>
      <c r="C104" s="17" t="inlineStr">
        <is>
          <t>1/1</t>
        </is>
      </c>
      <c r="D104" s="17" t="inlineStr">
        <is>
          <t>CARTAO DE CREDITO</t>
        </is>
      </c>
      <c r="E104" s="23" t="n">
        <v>46183</v>
      </c>
      <c r="F104" s="23" t="n">
        <v>46183</v>
      </c>
      <c r="G104" s="23" t="n">
        <v>46183</v>
      </c>
      <c r="H104" s="18" t="n">
        <v>159</v>
      </c>
    </row>
    <row r="105">
      <c r="A105" s="17" t="inlineStr">
        <is>
          <t>FINANCEIRO</t>
        </is>
      </c>
      <c r="B105" s="17" t="inlineStr">
        <is>
          <t>LILI SERVICOS DE APOIO A EMPRESAS LTDA</t>
        </is>
      </c>
      <c r="C105" s="17" t="inlineStr">
        <is>
          <t>1/1</t>
        </is>
      </c>
      <c r="D105" s="17" t="inlineStr">
        <is>
          <t>ITAU</t>
        </is>
      </c>
      <c r="E105" s="23" t="n">
        <v>46216</v>
      </c>
      <c r="F105" s="23" t="n">
        <v>46216</v>
      </c>
      <c r="G105" s="23" t="n">
        <v>46203</v>
      </c>
      <c r="H105" s="18" t="n">
        <v>150</v>
      </c>
    </row>
    <row r="106">
      <c r="A106" s="17" t="inlineStr">
        <is>
          <t>FINANCEIRO</t>
        </is>
      </c>
      <c r="B106" s="17" t="inlineStr">
        <is>
          <t>SWITCH APP TECNOLOGIA DE SERVICOS LTDA</t>
        </is>
      </c>
      <c r="C106" s="17" t="inlineStr">
        <is>
          <t>1/1</t>
        </is>
      </c>
      <c r="D106" s="17" t="inlineStr">
        <is>
          <t>ITAU</t>
        </is>
      </c>
      <c r="E106" s="23" t="n">
        <v>46195</v>
      </c>
      <c r="F106" s="23" t="n">
        <v>46195</v>
      </c>
      <c r="G106" s="23" t="n">
        <v>46188</v>
      </c>
      <c r="H106" s="18" t="n">
        <v>149.65</v>
      </c>
    </row>
    <row r="107">
      <c r="A107" s="17" t="inlineStr">
        <is>
          <t>FINANCEIRO</t>
        </is>
      </c>
      <c r="B107" s="17" t="inlineStr">
        <is>
          <t>TRADAQ LTDA</t>
        </is>
      </c>
      <c r="C107" s="17" t="inlineStr">
        <is>
          <t>1/1</t>
        </is>
      </c>
      <c r="D107" s="17" t="inlineStr">
        <is>
          <t>ITAU</t>
        </is>
      </c>
      <c r="E107" s="23" t="n">
        <v>46204</v>
      </c>
      <c r="F107" s="23" t="n">
        <v>46204</v>
      </c>
      <c r="G107" s="23" t="n">
        <v>46203</v>
      </c>
      <c r="H107" s="18" t="n">
        <v>142.8</v>
      </c>
    </row>
    <row r="108">
      <c r="A108" s="17" t="inlineStr">
        <is>
          <t>FINANCEIRO</t>
        </is>
      </c>
      <c r="B108" s="17" t="inlineStr">
        <is>
          <t>ELETROPAULO METROPOLITANA ELETRICIDADE DE SAO PAULO S.A.</t>
        </is>
      </c>
      <c r="C108" s="17" t="inlineStr">
        <is>
          <t>1/1</t>
        </is>
      </c>
      <c r="D108" s="17" t="inlineStr">
        <is>
          <t>ITAU</t>
        </is>
      </c>
      <c r="E108" s="23" t="n">
        <v>46181</v>
      </c>
      <c r="F108" s="23" t="n">
        <v>46181</v>
      </c>
      <c r="G108" s="23" t="n">
        <v>46175</v>
      </c>
      <c r="H108" s="18" t="n">
        <v>140.37</v>
      </c>
    </row>
    <row r="109">
      <c r="A109" s="17" t="inlineStr">
        <is>
          <t>FINANCEIRO</t>
        </is>
      </c>
      <c r="B109" s="17" t="inlineStr">
        <is>
          <t>SWITCH APP TECNOLOGIA DE SERVICOS LTDA</t>
        </is>
      </c>
      <c r="C109" s="17" t="inlineStr">
        <is>
          <t>1/1</t>
        </is>
      </c>
      <c r="D109" s="17" t="inlineStr">
        <is>
          <t>ITAU</t>
        </is>
      </c>
      <c r="E109" s="23" t="n">
        <v>46181</v>
      </c>
      <c r="F109" s="23" t="n">
        <v>46181</v>
      </c>
      <c r="G109" s="23" t="n">
        <v>46174</v>
      </c>
      <c r="H109" s="18" t="n">
        <v>139.91</v>
      </c>
    </row>
    <row r="110">
      <c r="A110" s="17" t="inlineStr">
        <is>
          <t>FINANCEIRO</t>
        </is>
      </c>
      <c r="B110" s="17" t="inlineStr">
        <is>
          <t>SWITCH APP TECNOLOGIA DE SERVICOS LTDA</t>
        </is>
      </c>
      <c r="C110" s="17" t="inlineStr">
        <is>
          <t>1/1</t>
        </is>
      </c>
      <c r="D110" s="17" t="inlineStr">
        <is>
          <t>ITAU</t>
        </is>
      </c>
      <c r="E110" s="23" t="n">
        <v>46189</v>
      </c>
      <c r="F110" s="23" t="n">
        <v>46189</v>
      </c>
      <c r="G110" s="23" t="n">
        <v>46181</v>
      </c>
      <c r="H110" s="18" t="n">
        <v>139.91</v>
      </c>
    </row>
    <row r="111">
      <c r="A111" s="17" t="inlineStr">
        <is>
          <t>FINANCEIRO</t>
        </is>
      </c>
      <c r="B111" s="17" t="inlineStr">
        <is>
          <t>SWITCH APP TECNOLOGIA DE SERVICOS LTDA</t>
        </is>
      </c>
      <c r="C111" s="17" t="inlineStr">
        <is>
          <t>1/1</t>
        </is>
      </c>
      <c r="D111" s="17" t="inlineStr">
        <is>
          <t>ITAU</t>
        </is>
      </c>
      <c r="E111" s="23" t="n">
        <v>46203</v>
      </c>
      <c r="F111" s="23" t="n">
        <v>46203</v>
      </c>
      <c r="G111" s="23" t="n">
        <v>46195</v>
      </c>
      <c r="H111" s="18" t="n">
        <v>138.96</v>
      </c>
    </row>
    <row r="112">
      <c r="A112" s="17" t="inlineStr">
        <is>
          <t>FINANCEIRO</t>
        </is>
      </c>
      <c r="B112" s="17" t="inlineStr">
        <is>
          <t>CRYSTALMIX COMERCIO E MANUTENCAO DE EQUIPAMENTOS DE GAS LTDA</t>
        </is>
      </c>
      <c r="C112" s="17" t="inlineStr">
        <is>
          <t>1/1</t>
        </is>
      </c>
      <c r="D112" s="17" t="inlineStr">
        <is>
          <t>ITAU</t>
        </is>
      </c>
      <c r="E112" s="23" t="n">
        <v>46218</v>
      </c>
      <c r="F112" s="23" t="n">
        <v>46218</v>
      </c>
      <c r="G112" s="23" t="n">
        <v>46203</v>
      </c>
      <c r="H112" s="18" t="n">
        <v>120</v>
      </c>
    </row>
    <row r="113">
      <c r="A113" s="17" t="inlineStr">
        <is>
          <t>FINANCEIRO</t>
        </is>
      </c>
      <c r="B113" s="17" t="inlineStr">
        <is>
          <t>CLARO S.A.</t>
        </is>
      </c>
      <c r="C113" s="17" t="inlineStr">
        <is>
          <t>1/1</t>
        </is>
      </c>
      <c r="D113" s="17" t="inlineStr">
        <is>
          <t>ITAU</t>
        </is>
      </c>
      <c r="E113" s="23" t="n">
        <v>46203</v>
      </c>
      <c r="F113" s="23" t="n">
        <v>46203</v>
      </c>
      <c r="G113" s="23" t="n">
        <v>46203</v>
      </c>
      <c r="H113" s="18" t="n">
        <v>109.9</v>
      </c>
    </row>
    <row r="114">
      <c r="A114" s="17" t="inlineStr">
        <is>
          <t>FINANCEIRO</t>
        </is>
      </c>
      <c r="B114" s="17" t="inlineStr">
        <is>
          <t>OPENAI, LLC</t>
        </is>
      </c>
      <c r="C114" s="17" t="inlineStr">
        <is>
          <t>1/1</t>
        </is>
      </c>
      <c r="D114" s="17" t="inlineStr">
        <is>
          <t>CARTAO DE CREDITO</t>
        </is>
      </c>
      <c r="E114" s="23" t="n">
        <v>46202</v>
      </c>
      <c r="F114" s="23" t="n">
        <v>46202</v>
      </c>
      <c r="G114" s="23" t="n">
        <v>46202</v>
      </c>
      <c r="H114" s="18" t="n">
        <v>109.6</v>
      </c>
    </row>
    <row r="115">
      <c r="A115" s="17" t="inlineStr">
        <is>
          <t>FINANCEIRO</t>
        </is>
      </c>
      <c r="B115" s="17" t="inlineStr">
        <is>
          <t>PERMUTE - PRESTADORA DE SERVICOS DE ADMINISTRACAO E INTERMEDIACAO DE TROCAS LTDA</t>
        </is>
      </c>
      <c r="C115" s="17" t="inlineStr">
        <is>
          <t>1/1</t>
        </is>
      </c>
      <c r="D115" s="17" t="inlineStr">
        <is>
          <t>ITAU</t>
        </is>
      </c>
      <c r="E115" s="23" t="n">
        <v>46211</v>
      </c>
      <c r="F115" s="23" t="n">
        <v>46211</v>
      </c>
      <c r="G115" s="23" t="n">
        <v>46203</v>
      </c>
      <c r="H115" s="18" t="n">
        <v>85</v>
      </c>
    </row>
    <row r="116">
      <c r="A116" s="17" t="inlineStr">
        <is>
          <t>FINANCEIRO</t>
        </is>
      </c>
      <c r="B116" s="17" t="inlineStr">
        <is>
          <t>CLARO S.A.</t>
        </is>
      </c>
      <c r="C116" s="17" t="inlineStr">
        <is>
          <t>1/1</t>
        </is>
      </c>
      <c r="D116" s="17" t="inlineStr">
        <is>
          <t>ITAU</t>
        </is>
      </c>
      <c r="E116" s="23" t="n">
        <v>46185</v>
      </c>
      <c r="F116" s="23" t="n">
        <v>46185</v>
      </c>
      <c r="G116" s="23" t="n">
        <v>46175</v>
      </c>
      <c r="H116" s="18" t="n">
        <v>75.34</v>
      </c>
    </row>
    <row r="117">
      <c r="A117" s="17" t="inlineStr">
        <is>
          <t>FINANCEIRO</t>
        </is>
      </c>
      <c r="B117" s="17" t="inlineStr">
        <is>
          <t>TRADAQ LTDA</t>
        </is>
      </c>
      <c r="C117" s="17" t="inlineStr">
        <is>
          <t>1/1</t>
        </is>
      </c>
      <c r="D117" s="17" t="inlineStr">
        <is>
          <t>ITAU</t>
        </is>
      </c>
      <c r="E117" s="23" t="n">
        <v>46182</v>
      </c>
      <c r="F117" s="23" t="n">
        <v>46182</v>
      </c>
      <c r="G117" s="23" t="n">
        <v>46174</v>
      </c>
      <c r="H117" s="18" t="n">
        <v>64.93000000000001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</cols>
  <sheetData>
    <row r="1">
      <c r="A1" s="16" t="inlineStr">
        <is>
          <t>Fornecedor (Excel)</t>
        </is>
      </c>
      <c r="B1" s="16" t="inlineStr">
        <is>
          <t>Data</t>
        </is>
      </c>
      <c r="C1" s="16" t="inlineStr">
        <is>
          <t>Valor R$</t>
        </is>
      </c>
      <c r="D1" s="16" t="inlineStr">
        <is>
          <t>Setor</t>
        </is>
      </c>
      <c r="E1" s="16" t="inlineStr">
        <is>
          <t>Classificacao</t>
        </is>
      </c>
    </row>
    <row r="2">
      <c r="A2" s="24" t="inlineStr">
        <is>
          <t>CALIMP IMP. EXP. LTDA</t>
        </is>
      </c>
      <c r="B2" s="25" t="n">
        <v>46191</v>
      </c>
      <c r="C2" s="26" t="n">
        <v>20418</v>
      </c>
      <c r="D2" s="24" t="inlineStr">
        <is>
          <t>COZINHA</t>
        </is>
      </c>
      <c r="E2" s="24" t="inlineStr">
        <is>
          <t>Deveria ter NF-e (falta lancar no Everest)</t>
        </is>
      </c>
    </row>
    <row r="3">
      <c r="A3" s="24" t="inlineStr">
        <is>
          <t>MISTRAL IMPORTADORA LTDA</t>
        </is>
      </c>
      <c r="B3" s="25" t="n">
        <v>46203</v>
      </c>
      <c r="C3" s="26" t="n">
        <v>6860.5</v>
      </c>
      <c r="D3" s="24" t="inlineStr">
        <is>
          <t>BAR</t>
        </is>
      </c>
      <c r="E3" s="24" t="inlineStr">
        <is>
          <t>Deveria ter NF-e (falta lancar no Everest)</t>
        </is>
      </c>
    </row>
    <row r="4">
      <c r="A4" s="24" t="inlineStr">
        <is>
          <t xml:space="preserve">ST ETIENNE CITY PADARIA E CONFEITARIA LTDA  - FIXO </t>
        </is>
      </c>
      <c r="B4" s="25" t="n">
        <v>46203</v>
      </c>
      <c r="C4" s="26" t="n">
        <v>4293.24</v>
      </c>
      <c r="D4" s="24" t="inlineStr">
        <is>
          <t>COZINHA</t>
        </is>
      </c>
      <c r="E4" s="24" t="inlineStr">
        <is>
          <t>Deveria ter NF-e (falta lancar no Everest)</t>
        </is>
      </c>
    </row>
    <row r="5">
      <c r="A5" s="24" t="inlineStr">
        <is>
          <t>AMBEV S/A CDD</t>
        </is>
      </c>
      <c r="B5" s="25" t="n">
        <v>46184</v>
      </c>
      <c r="C5" s="26" t="n">
        <v>2864.49</v>
      </c>
      <c r="D5" s="24" t="inlineStr">
        <is>
          <t>BAR</t>
        </is>
      </c>
      <c r="E5" s="24" t="inlineStr">
        <is>
          <t>Deveria ter NF-e (falta lancar no Everest)</t>
        </is>
      </c>
    </row>
    <row r="6">
      <c r="A6" s="24" t="inlineStr">
        <is>
          <t>AMBEV S/A CDD</t>
        </is>
      </c>
      <c r="B6" s="25" t="n">
        <v>46203</v>
      </c>
      <c r="C6" s="26" t="n">
        <v>1630.58</v>
      </c>
      <c r="D6" s="24" t="inlineStr">
        <is>
          <t>BAR</t>
        </is>
      </c>
      <c r="E6" s="24" t="inlineStr">
        <is>
          <t>Deveria ter NF-e (falta lancar no Everest)</t>
        </is>
      </c>
    </row>
    <row r="7">
      <c r="A7" s="24" t="inlineStr">
        <is>
          <t>O SALGADO ALIMENTOS LTDA</t>
        </is>
      </c>
      <c r="B7" s="25" t="n">
        <v>46202</v>
      </c>
      <c r="C7" s="26" t="n">
        <v>1600</v>
      </c>
      <c r="D7" s="24" t="inlineStr">
        <is>
          <t>COZINHA</t>
        </is>
      </c>
      <c r="E7" s="24" t="inlineStr">
        <is>
          <t>Deveria ter NF-e (falta lancar no Everest)</t>
        </is>
      </c>
    </row>
    <row r="8">
      <c r="A8" s="24" t="inlineStr">
        <is>
          <t>DISTRIBUIDORA DE HORTIFRUTIGRANJEIRO FLD LTDA</t>
        </is>
      </c>
      <c r="B8" s="25" t="n">
        <v>46196</v>
      </c>
      <c r="C8" s="26" t="n">
        <v>886.4400000000001</v>
      </c>
      <c r="D8" s="24" t="inlineStr">
        <is>
          <t>COZINHA</t>
        </is>
      </c>
      <c r="E8" s="24" t="inlineStr">
        <is>
          <t>Deveria ter NF-e (falta lancar no Everest)</t>
        </is>
      </c>
    </row>
    <row r="9">
      <c r="A9" s="24" t="inlineStr">
        <is>
          <t>DISTRIBUIDORA E IMPORTADORA IRMAOS AVELINOS</t>
        </is>
      </c>
      <c r="B9" s="25" t="n">
        <v>46196</v>
      </c>
      <c r="C9" s="26" t="n">
        <v>564.4400000000001</v>
      </c>
      <c r="D9" s="24" t="inlineStr">
        <is>
          <t>COZINHA</t>
        </is>
      </c>
      <c r="E9" s="24" t="inlineStr">
        <is>
          <t>Deveria ter NF-e (falta lancar no Everest)</t>
        </is>
      </c>
    </row>
    <row r="10">
      <c r="A10" s="24" t="inlineStr">
        <is>
          <t>N.S.A COMERCIO VAREJISTA E DISTRIBUICAO LTDA</t>
        </is>
      </c>
      <c r="B10" s="25" t="n">
        <v>46195</v>
      </c>
      <c r="C10" s="26" t="n">
        <v>340.08</v>
      </c>
      <c r="D10" s="24" t="inlineStr">
        <is>
          <t>COZINHA</t>
        </is>
      </c>
      <c r="E10" s="24" t="inlineStr">
        <is>
          <t>Deveria ter NF-e (falta lancar no Everest)</t>
        </is>
      </c>
    </row>
    <row r="11">
      <c r="A11" s="24" t="inlineStr">
        <is>
          <t>ANA M DE JESUS HORTIFRUTI ME</t>
        </is>
      </c>
      <c r="B11" s="25" t="n">
        <v>46203</v>
      </c>
      <c r="C11" s="26" t="n">
        <v>245.4</v>
      </c>
      <c r="D11" s="24" t="inlineStr">
        <is>
          <t>COZINHA</t>
        </is>
      </c>
      <c r="E11" s="24" t="inlineStr">
        <is>
          <t>Deveria ter NF-e (falta lancar no Everest)</t>
        </is>
      </c>
    </row>
    <row r="12">
      <c r="A12" s="24" t="inlineStr">
        <is>
          <t>PC GAMER</t>
        </is>
      </c>
      <c r="B12" s="25" t="n">
        <v>46180</v>
      </c>
      <c r="C12" s="26" t="n">
        <v>181.14</v>
      </c>
      <c r="D12" s="24" t="inlineStr">
        <is>
          <t>ESCRITÓRIO</t>
        </is>
      </c>
      <c r="E12" s="24" t="inlineStr">
        <is>
          <t>Deveria ter NF-e (falta lancar no Everest)</t>
        </is>
      </c>
    </row>
    <row r="13">
      <c r="A13" s="17" t="inlineStr">
        <is>
          <t>CAPITAL COMERCIO DE REFRIGERAÇÃO LTDA</t>
        </is>
      </c>
      <c r="B13" s="23" t="n">
        <v>46187</v>
      </c>
      <c r="C13" s="18" t="n">
        <v>2748.98</v>
      </c>
      <c r="D13" s="17" t="inlineStr">
        <is>
          <t>MANUTENÇÃO</t>
        </is>
      </c>
      <c r="E13" s="17" t="inlineStr">
        <is>
          <t>Servico/assinatura (sem DANFE)</t>
        </is>
      </c>
    </row>
    <row r="14">
      <c r="A14" s="17" t="inlineStr">
        <is>
          <t>GOOGLE</t>
        </is>
      </c>
      <c r="B14" s="23" t="n">
        <v>46203</v>
      </c>
      <c r="C14" s="18" t="n">
        <v>1665.22</v>
      </c>
      <c r="D14" s="17" t="inlineStr">
        <is>
          <t>MARKETING</t>
        </is>
      </c>
      <c r="E14" s="17" t="inlineStr">
        <is>
          <t>Servico/assinatura (sem DANFE)</t>
        </is>
      </c>
    </row>
    <row r="15">
      <c r="A15" s="17" t="inlineStr">
        <is>
          <t>INSTAGRAM</t>
        </is>
      </c>
      <c r="B15" s="23" t="n">
        <v>46172</v>
      </c>
      <c r="C15" s="18" t="n">
        <v>1500</v>
      </c>
      <c r="D15" s="17" t="inlineStr">
        <is>
          <t>MARKETING</t>
        </is>
      </c>
      <c r="E15" s="17" t="inlineStr">
        <is>
          <t>Servico/assinatura (sem DANFE)</t>
        </is>
      </c>
    </row>
    <row r="16">
      <c r="A16" s="17" t="inlineStr">
        <is>
          <t>LC GO FAST</t>
        </is>
      </c>
      <c r="B16" s="23" t="n">
        <v>46182</v>
      </c>
      <c r="C16" s="18" t="n">
        <v>662</v>
      </c>
      <c r="D16" s="17" t="inlineStr">
        <is>
          <t>EVENTUAL</t>
        </is>
      </c>
      <c r="E16" s="17" t="inlineStr">
        <is>
          <t>Servico/assinatura (sem DANFE)</t>
        </is>
      </c>
    </row>
    <row r="17">
      <c r="A17" s="17" t="inlineStr">
        <is>
          <t>MAGAZINE</t>
        </is>
      </c>
      <c r="B17" s="23" t="n">
        <v>46177</v>
      </c>
      <c r="C17" s="18" t="n">
        <v>629.9</v>
      </c>
      <c r="D17" s="17" t="inlineStr">
        <is>
          <t>EVENTUAL</t>
        </is>
      </c>
      <c r="E17" s="17" t="inlineStr">
        <is>
          <t>Servico/assinatura (sem DANFE)</t>
        </is>
      </c>
    </row>
    <row r="18">
      <c r="A18" s="17" t="inlineStr">
        <is>
          <t>TRAMONTINA</t>
        </is>
      </c>
      <c r="B18" s="23" t="n">
        <v>46185</v>
      </c>
      <c r="C18" s="18" t="n">
        <v>402.35</v>
      </c>
      <c r="D18" s="17" t="inlineStr">
        <is>
          <t>EVENTUAL</t>
        </is>
      </c>
      <c r="E18" s="17" t="inlineStr">
        <is>
          <t>Servico/assinatura (sem DANFE)</t>
        </is>
      </c>
    </row>
    <row r="19">
      <c r="A19" s="17" t="inlineStr">
        <is>
          <t>WMB SUPERMERCADO</t>
        </is>
      </c>
      <c r="B19" s="23" t="n">
        <v>46183</v>
      </c>
      <c r="C19" s="18" t="n">
        <v>399.92</v>
      </c>
      <c r="D19" s="17" t="inlineStr">
        <is>
          <t>EVENTUAL</t>
        </is>
      </c>
      <c r="E19" s="17" t="inlineStr">
        <is>
          <t>Servico/assinatura (sem DANFE)</t>
        </is>
      </c>
    </row>
    <row r="20">
      <c r="A20" s="17" t="inlineStr">
        <is>
          <t>EBAZAR</t>
        </is>
      </c>
      <c r="B20" s="23" t="n">
        <v>46183</v>
      </c>
      <c r="C20" s="18" t="n">
        <v>318</v>
      </c>
      <c r="D20" s="17" t="inlineStr">
        <is>
          <t>EVENTUAL</t>
        </is>
      </c>
      <c r="E20" s="17" t="inlineStr">
        <is>
          <t>Servico/assinatura (sem DANFE)</t>
        </is>
      </c>
    </row>
    <row r="21">
      <c r="A21" s="17" t="inlineStr">
        <is>
          <t>RYZE AI</t>
        </is>
      </c>
      <c r="B21" s="23" t="n">
        <v>46203</v>
      </c>
      <c r="C21" s="18" t="n">
        <v>207.14</v>
      </c>
      <c r="D21" s="17" t="inlineStr">
        <is>
          <t>MARKETING</t>
        </is>
      </c>
      <c r="E21" s="17" t="inlineStr">
        <is>
          <t>Servico/assinatura (sem DANFE)</t>
        </is>
      </c>
    </row>
    <row r="22">
      <c r="A22" s="17" t="inlineStr">
        <is>
          <t>ANTONELLO</t>
        </is>
      </c>
      <c r="B22" s="23" t="n">
        <v>46181</v>
      </c>
      <c r="C22" s="18" t="n">
        <v>166</v>
      </c>
      <c r="D22" s="17" t="inlineStr">
        <is>
          <t>EVENTUAL</t>
        </is>
      </c>
      <c r="E22" s="17" t="inlineStr">
        <is>
          <t>Servico/assinatura (sem DANFE)</t>
        </is>
      </c>
    </row>
    <row r="23">
      <c r="A23" s="17" t="inlineStr">
        <is>
          <t>LALAMOVE</t>
        </is>
      </c>
      <c r="B23" s="23" t="n">
        <v>46185</v>
      </c>
      <c r="C23" s="18" t="n">
        <v>125</v>
      </c>
      <c r="D23" s="17" t="inlineStr">
        <is>
          <t>EVENTUAL</t>
        </is>
      </c>
      <c r="E23" s="17" t="inlineStr">
        <is>
          <t>Servico/assinatura (sem DANFE)</t>
        </is>
      </c>
    </row>
    <row r="24">
      <c r="A24" s="17" t="inlineStr">
        <is>
          <t>OPEN AI</t>
        </is>
      </c>
      <c r="B24" s="23" t="n">
        <v>46202</v>
      </c>
      <c r="C24" s="18" t="n">
        <v>69</v>
      </c>
      <c r="D24" s="17" t="inlineStr">
        <is>
          <t>EVENTUAL</t>
        </is>
      </c>
      <c r="E24" s="17" t="inlineStr">
        <is>
          <t>Servico/assinatura (sem DANFE)</t>
        </is>
      </c>
    </row>
    <row r="25">
      <c r="A25" s="17" t="inlineStr">
        <is>
          <t>PLUG USE</t>
        </is>
      </c>
      <c r="B25" s="23" t="n">
        <v>46178</v>
      </c>
      <c r="C25" s="18" t="n">
        <v>68.44</v>
      </c>
      <c r="D25" s="17" t="inlineStr">
        <is>
          <t>MANUTENÇÃO</t>
        </is>
      </c>
      <c r="E25" s="17" t="inlineStr">
        <is>
          <t>Servico/assinatura (sem DANFE)</t>
        </is>
      </c>
    </row>
    <row r="26">
      <c r="A26" s="17" t="inlineStr">
        <is>
          <t xml:space="preserve">BEBA SAUDE </t>
        </is>
      </c>
      <c r="B26" s="23" t="n">
        <v>46184</v>
      </c>
      <c r="C26" s="18" t="n">
        <v>19</v>
      </c>
      <c r="D26" s="17" t="inlineStr">
        <is>
          <t>EVENTUAL</t>
        </is>
      </c>
      <c r="E26" s="17" t="inlineStr">
        <is>
          <t>Servico/assinatura (sem DANFE)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0" customWidth="1" min="4" max="4"/>
    <col width="13" customWidth="1" min="5" max="5"/>
    <col width="14" customWidth="1" min="6" max="6"/>
    <col width="10" customWidth="1" min="7" max="7"/>
    <col width="9" customWidth="1" min="8" max="8"/>
  </cols>
  <sheetData>
    <row r="1">
      <c r="A1" s="2" t="inlineStr">
        <is>
          <t>Pares Everest x Excel (mesma compra valor levemente diferente)</t>
        </is>
      </c>
    </row>
    <row r="3">
      <c r="A3" s="16" t="inlineStr">
        <is>
          <t>Everest Fornecedor</t>
        </is>
      </c>
      <c r="B3" s="16" t="inlineStr">
        <is>
          <t>Ev. Lanc.</t>
        </is>
      </c>
      <c r="C3" s="16" t="inlineStr">
        <is>
          <t>Ev. Valor</t>
        </is>
      </c>
      <c r="D3" s="16" t="inlineStr">
        <is>
          <t>Excel Fornecedor</t>
        </is>
      </c>
      <c r="E3" s="16" t="inlineStr">
        <is>
          <t>Ex. Data</t>
        </is>
      </c>
      <c r="F3" s="16" t="inlineStr">
        <is>
          <t>Ex. Valor</t>
        </is>
      </c>
      <c r="G3" s="16" t="inlineStr">
        <is>
          <t>Dif R$</t>
        </is>
      </c>
      <c r="H3" s="16" t="inlineStr">
        <is>
          <t>Dif dias</t>
        </is>
      </c>
    </row>
    <row r="4">
      <c r="A4" s="27" t="inlineStr">
        <is>
          <t>CALIMP IMPORTACAO E EXPORTACAO LTDA</t>
        </is>
      </c>
      <c r="B4" s="28" t="n">
        <v>46192</v>
      </c>
      <c r="C4" s="29" t="n">
        <v>20481</v>
      </c>
      <c r="D4" s="27" t="inlineStr">
        <is>
          <t>CALIMP IMP. EXP. LTDA</t>
        </is>
      </c>
      <c r="E4" s="28" t="n">
        <v>46191</v>
      </c>
      <c r="F4" s="29" t="n">
        <v>20418</v>
      </c>
      <c r="G4" s="29" t="n">
        <v>63</v>
      </c>
      <c r="H4" s="27" t="n">
        <v>1</v>
      </c>
    </row>
    <row r="5">
      <c r="A5" s="27" t="inlineStr">
        <is>
          <t>SINDICATO DOS EMPREGADOS NO COMERCIO HOTELEIRO E SIMILARES DE SAO PAULO</t>
        </is>
      </c>
      <c r="B5" s="28" t="n">
        <v>46211</v>
      </c>
      <c r="C5" s="29" t="n">
        <v>4245.26</v>
      </c>
      <c r="D5" s="27" t="inlineStr">
        <is>
          <t xml:space="preserve">ST ETIENNE CITY PADARIA E CONFEITARIA LTDA  - FIXO </t>
        </is>
      </c>
      <c r="E5" s="28" t="n">
        <v>46203</v>
      </c>
      <c r="F5" s="29" t="n">
        <v>4293.24</v>
      </c>
      <c r="G5" s="29" t="n">
        <v>47.98</v>
      </c>
      <c r="H5" s="27" t="n">
        <v>8</v>
      </c>
    </row>
    <row r="6">
      <c r="A6" s="27" t="inlineStr">
        <is>
          <t>ACORDO JUDICIAL</t>
        </is>
      </c>
      <c r="B6" s="28" t="n">
        <v>46192</v>
      </c>
      <c r="C6" s="29" t="n">
        <v>3000</v>
      </c>
      <c r="D6" s="27" t="inlineStr">
        <is>
          <t>AMBEV S/A CDD</t>
        </is>
      </c>
      <c r="E6" s="28" t="n">
        <v>46184</v>
      </c>
      <c r="F6" s="29" t="n">
        <v>2864.49</v>
      </c>
      <c r="G6" s="29" t="n">
        <v>135.51</v>
      </c>
      <c r="H6" s="27" t="n">
        <v>8</v>
      </c>
    </row>
    <row r="7">
      <c r="A7" s="27" t="inlineStr">
        <is>
          <t>MISTRAL IMPORTADORA LTDA</t>
        </is>
      </c>
      <c r="B7" s="28" t="n">
        <v>46191</v>
      </c>
      <c r="C7" s="29" t="n">
        <v>2872.19</v>
      </c>
      <c r="D7" s="27" t="inlineStr">
        <is>
          <t>CAPITAL COMERCIO DE REFRIGERAÇÃO LTDA</t>
        </is>
      </c>
      <c r="E7" s="28" t="n">
        <v>46187</v>
      </c>
      <c r="F7" s="29" t="n">
        <v>2748.98</v>
      </c>
      <c r="G7" s="29" t="n">
        <v>123.21</v>
      </c>
      <c r="H7" s="27" t="n">
        <v>4</v>
      </c>
    </row>
    <row r="8">
      <c r="A8" s="27" t="inlineStr">
        <is>
          <t>VIA NOVA SERVICOS LTDA</t>
        </is>
      </c>
      <c r="B8" s="28" t="n">
        <v>46169</v>
      </c>
      <c r="C8" s="29" t="n">
        <v>1646.76</v>
      </c>
      <c r="D8" s="27" t="inlineStr">
        <is>
          <t>INSTAGRAM</t>
        </is>
      </c>
      <c r="E8" s="28" t="n">
        <v>46172</v>
      </c>
      <c r="F8" s="29" t="n">
        <v>1500</v>
      </c>
      <c r="G8" s="29" t="n">
        <v>146.76</v>
      </c>
      <c r="H8" s="27" t="n">
        <v>3</v>
      </c>
    </row>
    <row r="9">
      <c r="A9" s="27" t="inlineStr">
        <is>
          <t>MMACR PRODUCOES LTDA</t>
        </is>
      </c>
      <c r="B9" s="28" t="n">
        <v>46192</v>
      </c>
      <c r="C9" s="29" t="n">
        <v>1000</v>
      </c>
      <c r="D9" s="27" t="inlineStr">
        <is>
          <t>DISTRIBUIDORA DE HORTIFRUTIGRANJEIRO FLD LTDA</t>
        </is>
      </c>
      <c r="E9" s="28" t="n">
        <v>46196</v>
      </c>
      <c r="F9" s="29" t="n">
        <v>886.4400000000001</v>
      </c>
      <c r="G9" s="29" t="n">
        <v>113.56</v>
      </c>
      <c r="H9" s="27" t="n">
        <v>4</v>
      </c>
    </row>
    <row r="10">
      <c r="A10" s="27" t="inlineStr">
        <is>
          <t>DANIEL DE PAULA</t>
        </is>
      </c>
      <c r="B10" s="28" t="n">
        <v>46192</v>
      </c>
      <c r="C10" s="29" t="n">
        <v>850</v>
      </c>
      <c r="D10" s="27" t="inlineStr">
        <is>
          <t>LC GO FAST</t>
        </is>
      </c>
      <c r="E10" s="28" t="n">
        <v>46182</v>
      </c>
      <c r="F10" s="29" t="n">
        <v>662</v>
      </c>
      <c r="G10" s="29" t="n">
        <v>188</v>
      </c>
      <c r="H10" s="27" t="n">
        <v>10</v>
      </c>
    </row>
    <row r="11">
      <c r="A11" s="27" t="inlineStr">
        <is>
          <t>EP BRASIL COMERCIO DE BEBIDAS E EVENTOS PROMOCIONAIS LTDA</t>
        </is>
      </c>
      <c r="B11" s="28" t="n">
        <v>46185</v>
      </c>
      <c r="C11" s="29" t="n">
        <v>752.1</v>
      </c>
      <c r="D11" s="27" t="inlineStr">
        <is>
          <t>MAGAZINE</t>
        </is>
      </c>
      <c r="E11" s="28" t="n">
        <v>46177</v>
      </c>
      <c r="F11" s="29" t="n">
        <v>629.9</v>
      </c>
      <c r="G11" s="29" t="n">
        <v>122.2</v>
      </c>
      <c r="H11" s="27" t="n">
        <v>8</v>
      </c>
    </row>
    <row r="12">
      <c r="A12" s="27" t="inlineStr">
        <is>
          <t>GOOGLE BRASIL INTERNET LTDA.</t>
        </is>
      </c>
      <c r="B12" s="28" t="n">
        <v>46203</v>
      </c>
      <c r="C12" s="29" t="n">
        <v>656.4</v>
      </c>
      <c r="D12" s="27" t="inlineStr">
        <is>
          <t>DISTRIBUIDORA E IMPORTADORA IRMAOS AVELINOS</t>
        </is>
      </c>
      <c r="E12" s="28" t="n">
        <v>46196</v>
      </c>
      <c r="F12" s="29" t="n">
        <v>564.4400000000001</v>
      </c>
      <c r="G12" s="29" t="n">
        <v>91.95999999999999</v>
      </c>
      <c r="H12" s="27" t="n">
        <v>7</v>
      </c>
    </row>
    <row r="13">
      <c r="A13" s="27" t="inlineStr">
        <is>
          <t>RESTOCLEAN DO BRASIL COMERCIO IMPORTACAO E EXPORTACAO LTDA</t>
        </is>
      </c>
      <c r="B13" s="28" t="n">
        <v>46181</v>
      </c>
      <c r="C13" s="29" t="n">
        <v>600.64</v>
      </c>
      <c r="D13" s="27" t="inlineStr">
        <is>
          <t>TRAMONTINA</t>
        </is>
      </c>
      <c r="E13" s="28" t="n">
        <v>46185</v>
      </c>
      <c r="F13" s="29" t="n">
        <v>402.35</v>
      </c>
      <c r="G13" s="29" t="n">
        <v>198.29</v>
      </c>
      <c r="H13" s="27" t="n">
        <v>4</v>
      </c>
    </row>
    <row r="14">
      <c r="A14" s="27" t="inlineStr">
        <is>
          <t>SAO PAULO TRANSPORTE S.A.</t>
        </is>
      </c>
      <c r="B14" s="28" t="n">
        <v>46176</v>
      </c>
      <c r="C14" s="29" t="n">
        <v>521.52</v>
      </c>
      <c r="D14" s="27" t="inlineStr">
        <is>
          <t>WMB SUPERMERCADO</t>
        </is>
      </c>
      <c r="E14" s="28" t="n">
        <v>46183</v>
      </c>
      <c r="F14" s="29" t="n">
        <v>399.92</v>
      </c>
      <c r="G14" s="29" t="n">
        <v>121.6</v>
      </c>
      <c r="H14" s="27" t="n">
        <v>7</v>
      </c>
    </row>
    <row r="15">
      <c r="A15" s="27" t="inlineStr">
        <is>
          <t>TONELERO GAS COMERCIO ACESSORIOS LTDA</t>
        </is>
      </c>
      <c r="B15" s="28" t="n">
        <v>46196</v>
      </c>
      <c r="C15" s="29" t="n">
        <v>500</v>
      </c>
      <c r="D15" s="27" t="inlineStr">
        <is>
          <t>N.S.A COMERCIO VAREJISTA E DISTRIBUICAO LTDA</t>
        </is>
      </c>
      <c r="E15" s="28" t="n">
        <v>46195</v>
      </c>
      <c r="F15" s="29" t="n">
        <v>340.08</v>
      </c>
      <c r="G15" s="29" t="n">
        <v>159.92</v>
      </c>
      <c r="H15" s="27" t="n">
        <v>1</v>
      </c>
    </row>
    <row r="16">
      <c r="A16" s="27" t="inlineStr">
        <is>
          <t>SAO PAULO TRANSPORTE S.A.</t>
        </is>
      </c>
      <c r="B16" s="28" t="n">
        <v>46184</v>
      </c>
      <c r="C16" s="29" t="n">
        <v>412.87</v>
      </c>
      <c r="D16" s="27" t="inlineStr">
        <is>
          <t>EBAZAR</t>
        </is>
      </c>
      <c r="E16" s="28" t="n">
        <v>46183</v>
      </c>
      <c r="F16" s="29" t="n">
        <v>318</v>
      </c>
      <c r="G16" s="29" t="n">
        <v>94.87</v>
      </c>
      <c r="H16" s="27" t="n">
        <v>1</v>
      </c>
    </row>
    <row r="17">
      <c r="A17" s="27" t="inlineStr">
        <is>
          <t>LILI SERVICOS DE APOIO A EMPRESAS LTDA</t>
        </is>
      </c>
      <c r="B17" s="28" t="n">
        <v>46185</v>
      </c>
      <c r="C17" s="29" t="n">
        <v>376</v>
      </c>
      <c r="D17" s="27" t="inlineStr">
        <is>
          <t>PC GAMER</t>
        </is>
      </c>
      <c r="E17" s="28" t="n">
        <v>46180</v>
      </c>
      <c r="F17" s="29" t="n">
        <v>181.14</v>
      </c>
      <c r="G17" s="29" t="n">
        <v>194.86</v>
      </c>
      <c r="H17" s="27" t="n">
        <v>5</v>
      </c>
    </row>
    <row r="18">
      <c r="A18" s="27" t="inlineStr">
        <is>
          <t>SLIM KITCHEN DESENVOLVIMENTO DE SISTEMAS E CONSULTORIA LTDA</t>
        </is>
      </c>
      <c r="B18" s="28" t="n">
        <v>46175</v>
      </c>
      <c r="C18" s="29" t="n">
        <v>360</v>
      </c>
      <c r="D18" s="27" t="inlineStr">
        <is>
          <t>ANTONELLO</t>
        </is>
      </c>
      <c r="E18" s="28" t="n">
        <v>46181</v>
      </c>
      <c r="F18" s="29" t="n">
        <v>166</v>
      </c>
      <c r="G18" s="29" t="n">
        <v>194</v>
      </c>
      <c r="H18" s="27" t="n">
        <v>6</v>
      </c>
    </row>
    <row r="19">
      <c r="A19" s="27" t="inlineStr">
        <is>
          <t>VIRTUAL MARKET SERVICOS ELETRONICOS LTDA</t>
        </is>
      </c>
      <c r="B19" s="28" t="n">
        <v>46183</v>
      </c>
      <c r="C19" s="29" t="n">
        <v>321.84</v>
      </c>
      <c r="D19" s="27" t="inlineStr">
        <is>
          <t>LALAMOVE</t>
        </is>
      </c>
      <c r="E19" s="28" t="n">
        <v>46185</v>
      </c>
      <c r="F19" s="29" t="n">
        <v>125</v>
      </c>
      <c r="G19" s="29" t="n">
        <v>196.84</v>
      </c>
      <c r="H19" s="27" t="n">
        <v>2</v>
      </c>
    </row>
    <row r="20">
      <c r="A20" s="27" t="inlineStr">
        <is>
          <t>LC GO FAST COMERCIO DE PRODUTOS LTDA</t>
        </is>
      </c>
      <c r="B20" s="28" t="n">
        <v>46182</v>
      </c>
      <c r="C20" s="29" t="n">
        <v>264.88</v>
      </c>
      <c r="D20" s="27" t="inlineStr">
        <is>
          <t>PLUG USE</t>
        </is>
      </c>
      <c r="E20" s="28" t="n">
        <v>46178</v>
      </c>
      <c r="F20" s="29" t="n">
        <v>68.44</v>
      </c>
      <c r="G20" s="29" t="n">
        <v>196.44</v>
      </c>
      <c r="H20" s="27" t="n">
        <v>4</v>
      </c>
    </row>
    <row r="21">
      <c r="A21" s="27" t="inlineStr">
        <is>
          <t>CONTROLID INDUSTRIA, COMERCIO DE HARDWARE E SERVICOS DE TECNOLOGIA LTDA</t>
        </is>
      </c>
      <c r="B21" s="28" t="n">
        <v>46195</v>
      </c>
      <c r="C21" s="29" t="n">
        <v>249.34</v>
      </c>
      <c r="D21" s="27" t="inlineStr">
        <is>
          <t>ANA M DE JESUS HORTIFRUTI ME</t>
        </is>
      </c>
      <c r="E21" s="28" t="n">
        <v>46203</v>
      </c>
      <c r="F21" s="29" t="n">
        <v>245.4</v>
      </c>
      <c r="G21" s="29" t="n">
        <v>3.94</v>
      </c>
      <c r="H21" s="27" t="n">
        <v>8</v>
      </c>
    </row>
    <row r="22">
      <c r="A22" s="27" t="inlineStr">
        <is>
          <t>TFE/TFA</t>
        </is>
      </c>
      <c r="B22" s="28" t="n">
        <v>46213</v>
      </c>
      <c r="C22" s="29" t="n">
        <v>236.35</v>
      </c>
      <c r="D22" s="27" t="inlineStr">
        <is>
          <t>RYZE AI</t>
        </is>
      </c>
      <c r="E22" s="28" t="n">
        <v>46203</v>
      </c>
      <c r="F22" s="29" t="n">
        <v>207.14</v>
      </c>
      <c r="G22" s="29" t="n">
        <v>29.21</v>
      </c>
      <c r="H22" s="27" t="n">
        <v>10</v>
      </c>
    </row>
    <row r="23">
      <c r="A23" s="27" t="inlineStr">
        <is>
          <t>RYZE NEGOCIOS DIGITAIS LTDA</t>
        </is>
      </c>
      <c r="B23" s="28" t="n">
        <v>46193</v>
      </c>
      <c r="C23" s="29" t="n">
        <v>207.17</v>
      </c>
      <c r="D23" s="27" t="inlineStr">
        <is>
          <t>OPEN AI</t>
        </is>
      </c>
      <c r="E23" s="28" t="n">
        <v>46202</v>
      </c>
      <c r="F23" s="29" t="n">
        <v>69</v>
      </c>
      <c r="G23" s="29" t="n">
        <v>138.17</v>
      </c>
      <c r="H23" s="27" t="n">
        <v>9</v>
      </c>
    </row>
    <row r="24">
      <c r="A24" s="27" t="inlineStr">
        <is>
          <t>SAO PAULO TRANSPORTE S.A.</t>
        </is>
      </c>
      <c r="B24" s="28" t="n">
        <v>46190</v>
      </c>
      <c r="C24" s="29" t="n">
        <v>200.74</v>
      </c>
      <c r="D24" s="27" t="inlineStr">
        <is>
          <t xml:space="preserve">BEBA SAUDE </t>
        </is>
      </c>
      <c r="E24" s="28" t="n">
        <v>46184</v>
      </c>
      <c r="F24" s="29" t="n">
        <v>19</v>
      </c>
      <c r="G24" s="29" t="n">
        <v>181.74</v>
      </c>
      <c r="H24" s="2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32" customWidth="1" min="5" max="5"/>
  </cols>
  <sheetData>
    <row r="1">
      <c r="A1" s="16" t="inlineStr">
        <is>
          <t>Fornecedor</t>
        </is>
      </c>
      <c r="B1" s="16" t="inlineStr">
        <is>
          <t>Data</t>
        </is>
      </c>
      <c r="C1" s="16" t="inlineStr">
        <is>
          <t>Valor R$</t>
        </is>
      </c>
      <c r="D1" s="16" t="inlineStr">
        <is>
          <t>Setor</t>
        </is>
      </c>
      <c r="E1" s="16" t="inlineStr">
        <is>
          <t>Tipo</t>
        </is>
      </c>
    </row>
    <row r="2">
      <c r="A2" s="20" t="inlineStr">
        <is>
          <t>FABIO ROSOCHASNKY - DELLAS CONECTING</t>
        </is>
      </c>
      <c r="B2" s="21" t="n">
        <v>46172</v>
      </c>
      <c r="C2" s="22" t="n">
        <v>1500</v>
      </c>
      <c r="D2" s="20" t="inlineStr">
        <is>
          <t>MARKETING</t>
        </is>
      </c>
      <c r="E2" s="20" t="inlineStr">
        <is>
          <t>Fornecedores diferentes</t>
        </is>
      </c>
    </row>
    <row r="3">
      <c r="A3" s="20" t="inlineStr">
        <is>
          <t>INSTAGRAM</t>
        </is>
      </c>
      <c r="B3" s="21" t="n">
        <v>46172</v>
      </c>
      <c r="C3" s="22" t="n">
        <v>1500</v>
      </c>
      <c r="D3" s="20" t="inlineStr">
        <is>
          <t>MARKETING</t>
        </is>
      </c>
      <c r="E3" s="20" t="inlineStr">
        <is>
          <t>Fornecedores diferentes</t>
        </is>
      </c>
    </row>
    <row r="4">
      <c r="A4" s="20" t="inlineStr">
        <is>
          <t>N.S.A COMERCIO VAREJISTA E DISTRIBUICAO LTDA</t>
        </is>
      </c>
      <c r="B4" s="21" t="n">
        <v>46195</v>
      </c>
      <c r="C4" s="22" t="n">
        <v>340.08</v>
      </c>
      <c r="D4" s="20" t="inlineStr">
        <is>
          <t>BAR</t>
        </is>
      </c>
      <c r="E4" s="20" t="inlineStr">
        <is>
          <t>Mesmo fornecedor (dobro?)</t>
        </is>
      </c>
    </row>
    <row r="5">
      <c r="A5" s="20" t="inlineStr">
        <is>
          <t>N.S.A COMERCIO VAREJISTA E DISTRIBUICAO LTDA</t>
        </is>
      </c>
      <c r="B5" s="21" t="n">
        <v>46195</v>
      </c>
      <c r="C5" s="22" t="n">
        <v>340.08</v>
      </c>
      <c r="D5" s="20" t="inlineStr">
        <is>
          <t>COZINHA</t>
        </is>
      </c>
      <c r="E5" s="20" t="inlineStr">
        <is>
          <t>Mesmo fornecedor (dobro?)</t>
        </is>
      </c>
    </row>
    <row r="6">
      <c r="A6" s="20" t="inlineStr">
        <is>
          <t>LALAMOVE</t>
        </is>
      </c>
      <c r="B6" s="21" t="n">
        <v>46185</v>
      </c>
      <c r="C6" s="22" t="n">
        <v>125</v>
      </c>
      <c r="D6" s="20" t="inlineStr">
        <is>
          <t>EVENTUAL</t>
        </is>
      </c>
      <c r="E6" s="20" t="inlineStr">
        <is>
          <t>Mesmo fornecedor (dobro?)</t>
        </is>
      </c>
    </row>
    <row r="7">
      <c r="A7" s="20" t="inlineStr">
        <is>
          <t>LALAMOVE</t>
        </is>
      </c>
      <c r="B7" s="21" t="n">
        <v>46185</v>
      </c>
      <c r="C7" s="22" t="n">
        <v>125</v>
      </c>
      <c r="D7" s="20" t="inlineStr">
        <is>
          <t>EVENTUAL</t>
        </is>
      </c>
      <c r="E7" s="20" t="inlineStr">
        <is>
          <t>Mesmo fornecedor (dobro?)</t>
        </is>
      </c>
    </row>
    <row r="8">
      <c r="A8" s="20" t="inlineStr">
        <is>
          <t>EBAZAR</t>
        </is>
      </c>
      <c r="B8" s="21" t="n">
        <v>46183</v>
      </c>
      <c r="C8" s="22" t="n">
        <v>59.9</v>
      </c>
      <c r="D8" s="20" t="inlineStr">
        <is>
          <t>EVENTUAL</t>
        </is>
      </c>
      <c r="E8" s="20" t="inlineStr">
        <is>
          <t>Mesmo fornecedor (dobro?)</t>
        </is>
      </c>
    </row>
    <row r="9">
      <c r="A9" s="20" t="inlineStr">
        <is>
          <t>EBAZAR</t>
        </is>
      </c>
      <c r="B9" s="21" t="n">
        <v>46183</v>
      </c>
      <c r="C9" s="22" t="n">
        <v>59.9</v>
      </c>
      <c r="D9" s="20" t="inlineStr">
        <is>
          <t>EVENTUAL</t>
        </is>
      </c>
      <c r="E9" s="20" t="inlineStr">
        <is>
          <t>Mesmo fornecedor (dobro?)</t>
        </is>
      </c>
    </row>
    <row r="10">
      <c r="A10" s="20" t="inlineStr">
        <is>
          <t>EBAZAR</t>
        </is>
      </c>
      <c r="B10" s="21" t="n">
        <v>46183</v>
      </c>
      <c r="C10" s="22" t="n">
        <v>59.9</v>
      </c>
      <c r="D10" s="20" t="inlineStr">
        <is>
          <t>EVENTUAL</t>
        </is>
      </c>
      <c r="E10" s="20" t="inlineStr">
        <is>
          <t>Mesmo fornecedor (dobro?)</t>
        </is>
      </c>
    </row>
    <row r="11">
      <c r="A11" s="20" t="inlineStr">
        <is>
          <t>EBAZAR</t>
        </is>
      </c>
      <c r="B11" s="21" t="n">
        <v>46183</v>
      </c>
      <c r="C11" s="22" t="n">
        <v>59.9</v>
      </c>
      <c r="D11" s="20" t="inlineStr">
        <is>
          <t>EVENTUAL</t>
        </is>
      </c>
      <c r="E11" s="20" t="inlineStr">
        <is>
          <t>Mesmo fornecedor (dobro?)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6" t="inlineStr">
        <is>
          <t>Data</t>
        </is>
      </c>
      <c r="B1" s="16" t="inlineStr">
        <is>
          <t>Lancamento</t>
        </is>
      </c>
      <c r="C1" s="16" t="inlineStr">
        <is>
          <t>Parcelamento</t>
        </is>
      </c>
      <c r="D1" s="16" t="inlineStr">
        <is>
          <t>Valor R$</t>
        </is>
      </c>
      <c r="E1" s="16" t="inlineStr">
        <is>
          <t>Cartao</t>
        </is>
      </c>
      <c r="F1" s="16" t="inlineStr">
        <is>
          <t>Classificacao</t>
        </is>
      </c>
    </row>
    <row r="2">
      <c r="A2" s="25" t="n">
        <v>46157</v>
      </c>
      <c r="B2" s="24" t="inlineStr">
        <is>
          <t>Capital Comercio D</t>
        </is>
      </c>
      <c r="C2" s="24" t="inlineStr">
        <is>
          <t>Parcela 2 de 2</t>
        </is>
      </c>
      <c r="D2" s="26" t="n">
        <v>2748.98</v>
      </c>
      <c r="E2" s="24" t="inlineStr">
        <is>
          <t>****4280</t>
        </is>
      </c>
      <c r="F2" s="24" t="inlineStr">
        <is>
          <t>Mercadoria - DEVERIA TER DANFE</t>
        </is>
      </c>
    </row>
    <row r="3">
      <c r="A3" s="25" t="n">
        <v>46175</v>
      </c>
      <c r="B3" s="24" t="inlineStr">
        <is>
          <t>Mag*magalu-magazin</t>
        </is>
      </c>
      <c r="C3" s="24" t="inlineStr">
        <is>
          <t>Parcela 1 de 10</t>
        </is>
      </c>
      <c r="D3" s="26" t="n">
        <v>629.9</v>
      </c>
      <c r="E3" s="24" t="inlineStr">
        <is>
          <t>****9061</t>
        </is>
      </c>
      <c r="F3" s="24" t="inlineStr">
        <is>
          <t>Mercadoria - DEVERIA TER DANFE</t>
        </is>
      </c>
    </row>
    <row r="4">
      <c r="A4" s="25" t="n">
        <v>45974</v>
      </c>
      <c r="B4" s="24" t="inlineStr">
        <is>
          <t xml:space="preserve">Tramontina        </t>
        </is>
      </c>
      <c r="C4" s="24" t="inlineStr">
        <is>
          <t>Parcela 8 de 10</t>
        </is>
      </c>
      <c r="D4" s="26" t="n">
        <v>402.35</v>
      </c>
      <c r="E4" s="24" t="inlineStr">
        <is>
          <t>****9061</t>
        </is>
      </c>
      <c r="F4" s="24" t="inlineStr">
        <is>
          <t>Mercadoria - DEVERIA TER DANFE</t>
        </is>
      </c>
    </row>
    <row r="5">
      <c r="A5" s="25" t="n">
        <v>46183</v>
      </c>
      <c r="B5" s="24" t="inlineStr">
        <is>
          <t>Sams Club Morumbi</t>
        </is>
      </c>
      <c r="C5" s="24" t="n"/>
      <c r="D5" s="26" t="n">
        <v>399.92</v>
      </c>
      <c r="E5" s="24" t="inlineStr">
        <is>
          <t>****4280</t>
        </is>
      </c>
      <c r="F5" s="24" t="inlineStr">
        <is>
          <t>Mercadoria - DEVERIA TER DANFE</t>
        </is>
      </c>
    </row>
    <row r="6">
      <c r="A6" s="25" t="n">
        <v>46157</v>
      </c>
      <c r="B6" s="24" t="inlineStr">
        <is>
          <t>Capital Comercio De Re</t>
        </is>
      </c>
      <c r="C6" s="24" t="n"/>
      <c r="D6" s="26" t="n">
        <v>-0.01</v>
      </c>
      <c r="E6" s="24" t="inlineStr">
        <is>
          <t>****4280</t>
        </is>
      </c>
      <c r="F6" s="24" t="inlineStr">
        <is>
          <t>Mercadoria - DEVERIA TER DANFE</t>
        </is>
      </c>
    </row>
    <row r="7">
      <c r="A7" s="30" t="n">
        <v>46182</v>
      </c>
      <c r="B7" s="31" t="inlineStr">
        <is>
          <t>Mercadolivre*mercadol</t>
        </is>
      </c>
      <c r="C7" s="31" t="n"/>
      <c r="D7" s="32" t="n">
        <v>662.2</v>
      </c>
      <c r="E7" s="31" t="inlineStr">
        <is>
          <t>****9061</t>
        </is>
      </c>
      <c r="F7" s="31" t="inlineStr">
        <is>
          <t>Servico/app (sem DANFE)</t>
        </is>
      </c>
    </row>
    <row r="8">
      <c r="A8" s="30" t="n">
        <v>46174</v>
      </c>
      <c r="B8" s="31" t="inlineStr">
        <is>
          <t>Google Cloud Ngr4dl</t>
        </is>
      </c>
      <c r="C8" s="31" t="n"/>
      <c r="D8" s="32" t="n">
        <v>378.6</v>
      </c>
      <c r="E8" s="31" t="inlineStr">
        <is>
          <t>****9061</t>
        </is>
      </c>
      <c r="F8" s="31" t="inlineStr">
        <is>
          <t>Servico/app (sem DANFE)</t>
        </is>
      </c>
    </row>
    <row r="9">
      <c r="A9" s="30" t="n">
        <v>46183</v>
      </c>
      <c r="B9" s="31" t="inlineStr">
        <is>
          <t>Mercadolivre*mercadol</t>
        </is>
      </c>
      <c r="C9" s="31" t="n"/>
      <c r="D9" s="32" t="n">
        <v>318</v>
      </c>
      <c r="E9" s="31" t="inlineStr">
        <is>
          <t>****9061</t>
        </is>
      </c>
      <c r="F9" s="31" t="inlineStr">
        <is>
          <t>Servico/app (sem DANFE)</t>
        </is>
      </c>
    </row>
    <row r="10">
      <c r="A10" s="30" t="n">
        <v>46174</v>
      </c>
      <c r="B10" s="31" t="inlineStr">
        <is>
          <t>Google Ads2978776244</t>
        </is>
      </c>
      <c r="C10" s="31" t="n"/>
      <c r="D10" s="32" t="n">
        <v>277.8</v>
      </c>
      <c r="E10" s="31" t="inlineStr">
        <is>
          <t>****9061</t>
        </is>
      </c>
      <c r="F10" s="31" t="inlineStr">
        <is>
          <t>Servico/app (sem DANFE)</t>
        </is>
      </c>
    </row>
    <row r="11">
      <c r="A11" s="30" t="n">
        <v>46180</v>
      </c>
      <c r="B11" s="31" t="inlineStr">
        <is>
          <t>Mercadolivre*merca</t>
        </is>
      </c>
      <c r="C11" s="31" t="inlineStr">
        <is>
          <t>Parcela 1 de 10</t>
        </is>
      </c>
      <c r="D11" s="32" t="n">
        <v>181.14</v>
      </c>
      <c r="E11" s="31" t="inlineStr">
        <is>
          <t>****9061</t>
        </is>
      </c>
      <c r="F11" s="31" t="inlineStr">
        <is>
          <t>Servico/app (sem DANFE)</t>
        </is>
      </c>
    </row>
    <row r="12">
      <c r="A12" s="30" t="n">
        <v>46177</v>
      </c>
      <c r="B12" s="31" t="inlineStr">
        <is>
          <t>Mercadolivre*merca</t>
        </is>
      </c>
      <c r="C12" s="31" t="inlineStr">
        <is>
          <t>Parcela 1 de 10</t>
        </is>
      </c>
      <c r="D12" s="32" t="n">
        <v>166</v>
      </c>
      <c r="E12" s="31" t="inlineStr">
        <is>
          <t>****9061</t>
        </is>
      </c>
      <c r="F12" s="31" t="inlineStr">
        <is>
          <t>Servico/app (sem DANFE)</t>
        </is>
      </c>
    </row>
    <row r="13">
      <c r="A13" s="30" t="n">
        <v>46201</v>
      </c>
      <c r="B13" s="31" t="inlineStr">
        <is>
          <t>Facebk *A35hdvdu32</t>
        </is>
      </c>
      <c r="C13" s="31" t="n"/>
      <c r="D13" s="32" t="n">
        <v>130</v>
      </c>
      <c r="E13" s="31" t="inlineStr">
        <is>
          <t>****9061</t>
        </is>
      </c>
      <c r="F13" s="31" t="inlineStr">
        <is>
          <t>Servico/app (sem DANFE)</t>
        </is>
      </c>
    </row>
    <row r="14">
      <c r="A14" s="30" t="n">
        <v>46193</v>
      </c>
      <c r="B14" s="31" t="inlineStr">
        <is>
          <t>Facebk *Xueurrzt32</t>
        </is>
      </c>
      <c r="C14" s="31" t="n"/>
      <c r="D14" s="32" t="n">
        <v>130</v>
      </c>
      <c r="E14" s="31" t="inlineStr">
        <is>
          <t>****9061</t>
        </is>
      </c>
      <c r="F14" s="31" t="inlineStr">
        <is>
          <t>Servico/app (sem DANFE)</t>
        </is>
      </c>
    </row>
    <row r="15">
      <c r="A15" s="30" t="n">
        <v>46185</v>
      </c>
      <c r="B15" s="31" t="inlineStr">
        <is>
          <t>Facebk *Gbm8mq9u32</t>
        </is>
      </c>
      <c r="C15" s="31" t="n"/>
      <c r="D15" s="32" t="n">
        <v>130</v>
      </c>
      <c r="E15" s="31" t="inlineStr">
        <is>
          <t>****9061</t>
        </is>
      </c>
      <c r="F15" s="31" t="inlineStr">
        <is>
          <t>Servico/app (sem DANFE)</t>
        </is>
      </c>
    </row>
    <row r="16">
      <c r="A16" s="30" t="n">
        <v>46181</v>
      </c>
      <c r="B16" s="31" t="inlineStr">
        <is>
          <t>Facebk *47c7psru32</t>
        </is>
      </c>
      <c r="C16" s="31" t="n"/>
      <c r="D16" s="32" t="n">
        <v>130</v>
      </c>
      <c r="E16" s="31" t="inlineStr">
        <is>
          <t>****9061</t>
        </is>
      </c>
      <c r="F16" s="31" t="inlineStr">
        <is>
          <t>Servico/app (sem DANFE)</t>
        </is>
      </c>
    </row>
    <row r="17">
      <c r="A17" s="30" t="n">
        <v>46178</v>
      </c>
      <c r="B17" s="31" t="inlineStr">
        <is>
          <t>Facebk *Ug54frhu32</t>
        </is>
      </c>
      <c r="C17" s="31" t="n"/>
      <c r="D17" s="32" t="n">
        <v>130</v>
      </c>
      <c r="E17" s="31" t="inlineStr">
        <is>
          <t>****9061</t>
        </is>
      </c>
      <c r="F17" s="31" t="inlineStr">
        <is>
          <t>Servico/app (sem DANFE)</t>
        </is>
      </c>
    </row>
    <row r="18">
      <c r="A18" s="30" t="n">
        <v>46175</v>
      </c>
      <c r="B18" s="31" t="inlineStr">
        <is>
          <t>Facebk *Ta42xpvt32</t>
        </is>
      </c>
      <c r="C18" s="31" t="n"/>
      <c r="D18" s="32" t="n">
        <v>130</v>
      </c>
      <c r="E18" s="31" t="inlineStr">
        <is>
          <t>****9061</t>
        </is>
      </c>
      <c r="F18" s="31" t="inlineStr">
        <is>
          <t>Servico/app (sem DANFE)</t>
        </is>
      </c>
    </row>
    <row r="19">
      <c r="A19" s="30" t="n">
        <v>46196</v>
      </c>
      <c r="B19" s="31" t="inlineStr">
        <is>
          <t>Ryze Ai</t>
        </is>
      </c>
      <c r="C19" s="31" t="n"/>
      <c r="D19" s="32" t="n">
        <v>86.36</v>
      </c>
      <c r="E19" s="31" t="inlineStr">
        <is>
          <t>****9061</t>
        </is>
      </c>
      <c r="F19" s="31" t="inlineStr">
        <is>
          <t>Servico/app (sem DANFE)</t>
        </is>
      </c>
    </row>
    <row r="20">
      <c r="A20" s="30" t="n">
        <v>46201</v>
      </c>
      <c r="B20" s="31" t="inlineStr">
        <is>
          <t>Ryze Ai</t>
        </is>
      </c>
      <c r="C20" s="31" t="n"/>
      <c r="D20" s="32" t="n">
        <v>58.2</v>
      </c>
      <c r="E20" s="31" t="inlineStr">
        <is>
          <t>****9061</t>
        </is>
      </c>
      <c r="F20" s="31" t="inlineStr">
        <is>
          <t>Servico/app (sem DANFE)</t>
        </is>
      </c>
    </row>
    <row r="21">
      <c r="A21" s="30" t="n">
        <v>46178</v>
      </c>
      <c r="B21" s="31" t="inlineStr">
        <is>
          <t>Mercado*mercadolivre</t>
        </is>
      </c>
      <c r="C21" s="31" t="n"/>
      <c r="D21" s="32" t="n">
        <v>57.44</v>
      </c>
      <c r="E21" s="31" t="inlineStr">
        <is>
          <t>****9061</t>
        </is>
      </c>
      <c r="F21" s="31" t="inlineStr">
        <is>
          <t>Servico/app (sem DANFE)</t>
        </is>
      </c>
    </row>
    <row r="22">
      <c r="A22" s="30" t="n">
        <v>46194</v>
      </c>
      <c r="B22" s="31" t="inlineStr">
        <is>
          <t>Ryze Ai</t>
        </is>
      </c>
      <c r="C22" s="31" t="n"/>
      <c r="D22" s="32" t="n">
        <v>56.47</v>
      </c>
      <c r="E22" s="31" t="inlineStr">
        <is>
          <t>****9061</t>
        </is>
      </c>
      <c r="F22" s="31" t="inlineStr">
        <is>
          <t>Servico/app (sem DANFE)</t>
        </is>
      </c>
    </row>
    <row r="23">
      <c r="A23" s="30" t="n">
        <v>46199</v>
      </c>
      <c r="B23" s="31" t="inlineStr">
        <is>
          <t>Ryze Ai</t>
        </is>
      </c>
      <c r="C23" s="31" t="n"/>
      <c r="D23" s="32" t="n">
        <v>6.14</v>
      </c>
      <c r="E23" s="31" t="inlineStr">
        <is>
          <t>****9061</t>
        </is>
      </c>
      <c r="F23" s="31" t="inlineStr">
        <is>
          <t>Servico/app (sem DANFE)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Titulos Everest com Portador=CARTAO DE CREDITO que nao aparecem na fatura Julho</t>
        </is>
      </c>
    </row>
    <row r="3">
      <c r="A3" s="16" t="inlineStr">
        <is>
          <t>Origem</t>
        </is>
      </c>
      <c r="B3" s="16" t="inlineStr">
        <is>
          <t>Fornecedor</t>
        </is>
      </c>
      <c r="C3" s="16" t="inlineStr">
        <is>
          <t>Parcela</t>
        </is>
      </c>
      <c r="D3" s="16" t="inlineStr">
        <is>
          <t>D. Lancamento</t>
        </is>
      </c>
      <c r="E3" s="16" t="inlineStr">
        <is>
          <t>D. Competencia</t>
        </is>
      </c>
      <c r="F3" s="16" t="inlineStr">
        <is>
          <t>Valor R$</t>
        </is>
      </c>
    </row>
    <row r="4">
      <c r="A4" s="17" t="inlineStr">
        <is>
          <t>DANFE</t>
        </is>
      </c>
      <c r="B4" s="17" t="inlineStr">
        <is>
          <t>DISTRIBUIDORA E IMPORTADORA IRMAOS AVELINO S.A.</t>
        </is>
      </c>
      <c r="C4" s="17" t="inlineStr">
        <is>
          <t>1/1</t>
        </is>
      </c>
      <c r="D4" s="23" t="n">
        <v>46176</v>
      </c>
      <c r="E4" s="23" t="n">
        <v>46176</v>
      </c>
      <c r="F4" s="18" t="n">
        <v>620.29</v>
      </c>
    </row>
    <row r="5">
      <c r="A5" s="17" t="inlineStr">
        <is>
          <t>FINANCEIRO</t>
        </is>
      </c>
      <c r="B5" s="17" t="inlineStr">
        <is>
          <t>GOOGLE BRASIL INTERNET LTDA.</t>
        </is>
      </c>
      <c r="C5" s="17" t="inlineStr">
        <is>
          <t>1/1</t>
        </is>
      </c>
      <c r="D5" s="23" t="n">
        <v>46203</v>
      </c>
      <c r="E5" s="23" t="n">
        <v>46203</v>
      </c>
      <c r="F5" s="18" t="n">
        <v>656.4</v>
      </c>
    </row>
    <row r="6">
      <c r="A6" s="17" t="inlineStr">
        <is>
          <t>FINANCEIRO</t>
        </is>
      </c>
      <c r="B6" s="17" t="inlineStr">
        <is>
          <t>MAGAZINE LUIZA S/A</t>
        </is>
      </c>
      <c r="C6" s="17" t="inlineStr">
        <is>
          <t>1/10</t>
        </is>
      </c>
      <c r="D6" s="23" t="n">
        <v>46177</v>
      </c>
      <c r="E6" s="23" t="n">
        <v>46177</v>
      </c>
      <c r="F6" s="18" t="n">
        <v>6299</v>
      </c>
    </row>
    <row r="7">
      <c r="A7" s="17" t="inlineStr">
        <is>
          <t>FINANCEIRO</t>
        </is>
      </c>
      <c r="B7" s="17" t="inlineStr">
        <is>
          <t>MAGAZINE LUIZA S/A</t>
        </is>
      </c>
      <c r="C7" s="17" t="inlineStr">
        <is>
          <t>2/10</t>
        </is>
      </c>
      <c r="D7" s="23" t="n">
        <v>46177</v>
      </c>
      <c r="E7" s="23" t="n">
        <v>46177</v>
      </c>
      <c r="F7" s="18" t="n">
        <v>6299</v>
      </c>
    </row>
    <row r="8">
      <c r="A8" s="17" t="inlineStr">
        <is>
          <t>FINANCEIRO</t>
        </is>
      </c>
      <c r="B8" s="17" t="inlineStr">
        <is>
          <t>MAGAZINE LUIZA S/A</t>
        </is>
      </c>
      <c r="C8" s="17" t="inlineStr">
        <is>
          <t>3/10</t>
        </is>
      </c>
      <c r="D8" s="23" t="n">
        <v>46177</v>
      </c>
      <c r="E8" s="23" t="n">
        <v>46177</v>
      </c>
      <c r="F8" s="18" t="n">
        <v>6299</v>
      </c>
    </row>
    <row r="9">
      <c r="A9" s="17" t="inlineStr">
        <is>
          <t>FINANCEIRO</t>
        </is>
      </c>
      <c r="B9" s="17" t="inlineStr">
        <is>
          <t>MAGAZINE LUIZA S/A</t>
        </is>
      </c>
      <c r="C9" s="17" t="inlineStr">
        <is>
          <t>4/10</t>
        </is>
      </c>
      <c r="D9" s="23" t="n">
        <v>46177</v>
      </c>
      <c r="E9" s="23" t="n">
        <v>46177</v>
      </c>
      <c r="F9" s="18" t="n">
        <v>6299</v>
      </c>
    </row>
    <row r="10">
      <c r="A10" s="17" t="inlineStr">
        <is>
          <t>FINANCEIRO</t>
        </is>
      </c>
      <c r="B10" s="17" t="inlineStr">
        <is>
          <t>MAGAZINE LUIZA S/A</t>
        </is>
      </c>
      <c r="C10" s="17" t="inlineStr">
        <is>
          <t>5/10</t>
        </is>
      </c>
      <c r="D10" s="23" t="n">
        <v>46177</v>
      </c>
      <c r="E10" s="23" t="n">
        <v>46177</v>
      </c>
      <c r="F10" s="18" t="n">
        <v>6299</v>
      </c>
    </row>
    <row r="11">
      <c r="A11" s="17" t="inlineStr">
        <is>
          <t>FINANCEIRO</t>
        </is>
      </c>
      <c r="B11" s="17" t="inlineStr">
        <is>
          <t>MAGAZINE LUIZA S/A</t>
        </is>
      </c>
      <c r="C11" s="17" t="inlineStr">
        <is>
          <t>6/10</t>
        </is>
      </c>
      <c r="D11" s="23" t="n">
        <v>46177</v>
      </c>
      <c r="E11" s="23" t="n">
        <v>46177</v>
      </c>
      <c r="F11" s="18" t="n">
        <v>6299</v>
      </c>
    </row>
    <row r="12">
      <c r="A12" s="17" t="inlineStr">
        <is>
          <t>FINANCEIRO</t>
        </is>
      </c>
      <c r="B12" s="17" t="inlineStr">
        <is>
          <t>MAGAZINE LUIZA S/A</t>
        </is>
      </c>
      <c r="C12" s="17" t="inlineStr">
        <is>
          <t>7/10</t>
        </is>
      </c>
      <c r="D12" s="23" t="n">
        <v>46177</v>
      </c>
      <c r="E12" s="23" t="n">
        <v>46177</v>
      </c>
      <c r="F12" s="18" t="n">
        <v>6299</v>
      </c>
    </row>
    <row r="13">
      <c r="A13" s="17" t="inlineStr">
        <is>
          <t>FINANCEIRO</t>
        </is>
      </c>
      <c r="B13" s="17" t="inlineStr">
        <is>
          <t>MAGAZINE LUIZA S/A</t>
        </is>
      </c>
      <c r="C13" s="17" t="inlineStr">
        <is>
          <t>8/10</t>
        </is>
      </c>
      <c r="D13" s="23" t="n">
        <v>46177</v>
      </c>
      <c r="E13" s="23" t="n">
        <v>46177</v>
      </c>
      <c r="F13" s="18" t="n">
        <v>6299</v>
      </c>
    </row>
    <row r="14">
      <c r="A14" s="17" t="inlineStr">
        <is>
          <t>FINANCEIRO</t>
        </is>
      </c>
      <c r="B14" s="17" t="inlineStr">
        <is>
          <t>MAGAZINE LUIZA S/A</t>
        </is>
      </c>
      <c r="C14" s="17" t="inlineStr">
        <is>
          <t>9/10</t>
        </is>
      </c>
      <c r="D14" s="23" t="n">
        <v>46177</v>
      </c>
      <c r="E14" s="23" t="n">
        <v>46177</v>
      </c>
      <c r="F14" s="18" t="n">
        <v>6299</v>
      </c>
    </row>
    <row r="15">
      <c r="A15" s="17" t="inlineStr">
        <is>
          <t>FINANCEIRO</t>
        </is>
      </c>
      <c r="B15" s="17" t="inlineStr">
        <is>
          <t>MAGAZINE LUIZA S/A</t>
        </is>
      </c>
      <c r="C15" s="17" t="inlineStr">
        <is>
          <t>10/10</t>
        </is>
      </c>
      <c r="D15" s="23" t="n">
        <v>46177</v>
      </c>
      <c r="E15" s="23" t="n">
        <v>46177</v>
      </c>
      <c r="F15" s="18" t="n">
        <v>6299</v>
      </c>
    </row>
    <row r="16">
      <c r="A16" s="17" t="inlineStr">
        <is>
          <t>DANFE</t>
        </is>
      </c>
      <c r="B16" s="17" t="inlineStr">
        <is>
          <t>EBAZAR.COM.BR. LTDA</t>
        </is>
      </c>
      <c r="C16" s="17" t="inlineStr">
        <is>
          <t>1/1</t>
        </is>
      </c>
      <c r="D16" s="23" t="n">
        <v>46183</v>
      </c>
      <c r="E16" s="23" t="n">
        <v>46183</v>
      </c>
      <c r="F16" s="18" t="n">
        <v>159</v>
      </c>
    </row>
    <row r="17">
      <c r="A17" s="17" t="inlineStr">
        <is>
          <t>DANFE</t>
        </is>
      </c>
      <c r="B17" s="17" t="inlineStr">
        <is>
          <t>EBAZAR.COM.BR. LTDA</t>
        </is>
      </c>
      <c r="C17" s="17" t="inlineStr">
        <is>
          <t>1/1</t>
        </is>
      </c>
      <c r="D17" s="23" t="n">
        <v>46183</v>
      </c>
      <c r="E17" s="23" t="n">
        <v>46183</v>
      </c>
      <c r="F17" s="18" t="n">
        <v>159</v>
      </c>
    </row>
    <row r="18">
      <c r="A18" s="17" t="inlineStr">
        <is>
          <t>FINANCEIRO</t>
        </is>
      </c>
      <c r="B18" s="17" t="inlineStr">
        <is>
          <t>RYZE NEGOCIOS DIGITAIS LTDA</t>
        </is>
      </c>
      <c r="C18" s="17" t="inlineStr">
        <is>
          <t>1/1</t>
        </is>
      </c>
      <c r="D18" s="23" t="n">
        <v>46193</v>
      </c>
      <c r="E18" s="23" t="n">
        <v>46193</v>
      </c>
      <c r="F18" s="18" t="n">
        <v>207.17</v>
      </c>
    </row>
    <row r="19">
      <c r="A19" s="17" t="inlineStr">
        <is>
          <t>DANFE</t>
        </is>
      </c>
      <c r="B19" s="17" t="inlineStr">
        <is>
          <t>LC GO FAST COMERCIO DE PRODUTOS LTDA</t>
        </is>
      </c>
      <c r="C19" s="17" t="inlineStr">
        <is>
          <t>1/1</t>
        </is>
      </c>
      <c r="D19" s="23" t="n">
        <v>46182</v>
      </c>
      <c r="E19" s="23" t="n">
        <v>46182</v>
      </c>
      <c r="F19" s="18" t="n">
        <v>264.88</v>
      </c>
    </row>
    <row r="20">
      <c r="A20" s="17" t="inlineStr">
        <is>
          <t>FINANCEIRO</t>
        </is>
      </c>
      <c r="B20" s="17" t="inlineStr">
        <is>
          <t>FACEBOOK SERVICOS ONLINE DO BRASIL LTDA.</t>
        </is>
      </c>
      <c r="C20" s="17" t="inlineStr">
        <is>
          <t>1/1</t>
        </is>
      </c>
      <c r="D20" s="23" t="n">
        <v>46201</v>
      </c>
      <c r="E20" s="23" t="n">
        <v>46201</v>
      </c>
      <c r="F20" s="18" t="n">
        <v>780</v>
      </c>
    </row>
    <row r="21">
      <c r="A21" s="17" t="inlineStr">
        <is>
          <t>DANFE</t>
        </is>
      </c>
      <c r="B21" s="17" t="inlineStr">
        <is>
          <t>PC GAMER INFO INFORMATICA LTDA</t>
        </is>
      </c>
      <c r="C21" s="17" t="inlineStr">
        <is>
          <t>1/10</t>
        </is>
      </c>
      <c r="D21" s="23" t="n">
        <v>46181</v>
      </c>
      <c r="E21" s="23" t="n">
        <v>46181</v>
      </c>
      <c r="F21" s="18" t="n">
        <v>1811.4</v>
      </c>
    </row>
    <row r="22">
      <c r="A22" s="17" t="inlineStr">
        <is>
          <t>DANFE</t>
        </is>
      </c>
      <c r="B22" s="17" t="inlineStr">
        <is>
          <t>PC GAMER INFO INFORMATICA LTDA</t>
        </is>
      </c>
      <c r="C22" s="17" t="inlineStr">
        <is>
          <t>2/10</t>
        </is>
      </c>
      <c r="D22" s="23" t="n">
        <v>46181</v>
      </c>
      <c r="E22" s="23" t="n">
        <v>46181</v>
      </c>
      <c r="F22" s="18" t="n">
        <v>1811.4</v>
      </c>
    </row>
    <row r="23">
      <c r="A23" s="17" t="inlineStr">
        <is>
          <t>DANFE</t>
        </is>
      </c>
      <c r="B23" s="17" t="inlineStr">
        <is>
          <t>PC GAMER INFO INFORMATICA LTDA</t>
        </is>
      </c>
      <c r="C23" s="17" t="inlineStr">
        <is>
          <t>3/10</t>
        </is>
      </c>
      <c r="D23" s="23" t="n">
        <v>46181</v>
      </c>
      <c r="E23" s="23" t="n">
        <v>46181</v>
      </c>
      <c r="F23" s="18" t="n">
        <v>1811.4</v>
      </c>
    </row>
    <row r="24">
      <c r="A24" s="17" t="inlineStr">
        <is>
          <t>DANFE</t>
        </is>
      </c>
      <c r="B24" s="17" t="inlineStr">
        <is>
          <t>PC GAMER INFO INFORMATICA LTDA</t>
        </is>
      </c>
      <c r="C24" s="17" t="inlineStr">
        <is>
          <t>4/10</t>
        </is>
      </c>
      <c r="D24" s="23" t="n">
        <v>46181</v>
      </c>
      <c r="E24" s="23" t="n">
        <v>46181</v>
      </c>
      <c r="F24" s="18" t="n">
        <v>1811.4</v>
      </c>
    </row>
    <row r="25">
      <c r="A25" s="17" t="inlineStr">
        <is>
          <t>DANFE</t>
        </is>
      </c>
      <c r="B25" s="17" t="inlineStr">
        <is>
          <t>PC GAMER INFO INFORMATICA LTDA</t>
        </is>
      </c>
      <c r="C25" s="17" t="inlineStr">
        <is>
          <t>5/10</t>
        </is>
      </c>
      <c r="D25" s="23" t="n">
        <v>46181</v>
      </c>
      <c r="E25" s="23" t="n">
        <v>46181</v>
      </c>
      <c r="F25" s="18" t="n">
        <v>1811.4</v>
      </c>
    </row>
    <row r="26">
      <c r="A26" s="17" t="inlineStr">
        <is>
          <t>DANFE</t>
        </is>
      </c>
      <c r="B26" s="17" t="inlineStr">
        <is>
          <t>PC GAMER INFO INFORMATICA LTDA</t>
        </is>
      </c>
      <c r="C26" s="17" t="inlineStr">
        <is>
          <t>6/10</t>
        </is>
      </c>
      <c r="D26" s="23" t="n">
        <v>46181</v>
      </c>
      <c r="E26" s="23" t="n">
        <v>46181</v>
      </c>
      <c r="F26" s="18" t="n">
        <v>1811.4</v>
      </c>
    </row>
    <row r="27">
      <c r="A27" s="17" t="inlineStr">
        <is>
          <t>DANFE</t>
        </is>
      </c>
      <c r="B27" s="17" t="inlineStr">
        <is>
          <t>PC GAMER INFO INFORMATICA LTDA</t>
        </is>
      </c>
      <c r="C27" s="17" t="inlineStr">
        <is>
          <t>7/10</t>
        </is>
      </c>
      <c r="D27" s="23" t="n">
        <v>46181</v>
      </c>
      <c r="E27" s="23" t="n">
        <v>46181</v>
      </c>
      <c r="F27" s="18" t="n">
        <v>1811.4</v>
      </c>
    </row>
    <row r="28">
      <c r="A28" s="17" t="inlineStr">
        <is>
          <t>DANFE</t>
        </is>
      </c>
      <c r="B28" s="17" t="inlineStr">
        <is>
          <t>PC GAMER INFO INFORMATICA LTDA</t>
        </is>
      </c>
      <c r="C28" s="17" t="inlineStr">
        <is>
          <t>8/10</t>
        </is>
      </c>
      <c r="D28" s="23" t="n">
        <v>46181</v>
      </c>
      <c r="E28" s="23" t="n">
        <v>46181</v>
      </c>
      <c r="F28" s="18" t="n">
        <v>1811.4</v>
      </c>
    </row>
    <row r="29">
      <c r="A29" s="17" t="inlineStr">
        <is>
          <t>DANFE</t>
        </is>
      </c>
      <c r="B29" s="17" t="inlineStr">
        <is>
          <t>PC GAMER INFO INFORMATICA LTDA</t>
        </is>
      </c>
      <c r="C29" s="17" t="inlineStr">
        <is>
          <t>9/10</t>
        </is>
      </c>
      <c r="D29" s="23" t="n">
        <v>46181</v>
      </c>
      <c r="E29" s="23" t="n">
        <v>46181</v>
      </c>
      <c r="F29" s="18" t="n">
        <v>1811.4</v>
      </c>
    </row>
    <row r="30">
      <c r="A30" s="17" t="inlineStr">
        <is>
          <t>DANFE</t>
        </is>
      </c>
      <c r="B30" s="17" t="inlineStr">
        <is>
          <t>PC GAMER INFO INFORMATICA LTDA</t>
        </is>
      </c>
      <c r="C30" s="17" t="inlineStr">
        <is>
          <t>10/10</t>
        </is>
      </c>
      <c r="D30" s="23" t="n">
        <v>46181</v>
      </c>
      <c r="E30" s="23" t="n">
        <v>46181</v>
      </c>
      <c r="F30" s="18" t="n">
        <v>1811.4</v>
      </c>
    </row>
    <row r="31">
      <c r="A31" s="17" t="inlineStr">
        <is>
          <t>FINANCEIRO</t>
        </is>
      </c>
      <c r="B31" s="17" t="inlineStr">
        <is>
          <t>WMB SUPERMERCADOS DO BRASIL LTDA.</t>
        </is>
      </c>
      <c r="C31" s="17" t="inlineStr">
        <is>
          <t>1/1</t>
        </is>
      </c>
      <c r="D31" s="23" t="n">
        <v>46165</v>
      </c>
      <c r="E31" s="23" t="n">
        <v>46196</v>
      </c>
      <c r="F31" s="18" t="n">
        <v>359.92</v>
      </c>
    </row>
    <row r="32">
      <c r="A32" s="17" t="inlineStr">
        <is>
          <t>DANFE</t>
        </is>
      </c>
      <c r="B32" s="17" t="inlineStr">
        <is>
          <t>LC GO FAST COMERCIO DE PRODUTOS LTDA</t>
        </is>
      </c>
      <c r="C32" s="17" t="inlineStr">
        <is>
          <t>1/1</t>
        </is>
      </c>
      <c r="D32" s="23" t="n">
        <v>46182</v>
      </c>
      <c r="E32" s="23" t="n">
        <v>46182</v>
      </c>
      <c r="F32" s="18" t="n">
        <v>397.32</v>
      </c>
    </row>
    <row r="33">
      <c r="A33" s="17" t="inlineStr">
        <is>
          <t>FINANCEIRO</t>
        </is>
      </c>
      <c r="B33" s="17" t="inlineStr">
        <is>
          <t>WMB SUPERMERCADOS DO BRASIL LTDA.</t>
        </is>
      </c>
      <c r="C33" s="17" t="inlineStr">
        <is>
          <t>1/1</t>
        </is>
      </c>
      <c r="D33" s="23" t="n">
        <v>46183</v>
      </c>
      <c r="E33" s="23" t="n">
        <v>46183</v>
      </c>
      <c r="F33" s="18" t="n">
        <v>399.02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40" customWidth="1" min="4" max="4"/>
    <col width="13" customWidth="1" min="5" max="5"/>
    <col width="14" customWidth="1" min="6" max="6"/>
    <col width="10" customWidth="1" min="7" max="7"/>
  </cols>
  <sheetData>
    <row r="1">
      <c r="A1" s="2" t="inlineStr">
        <is>
          <t>Pares fatura x Everest CC (mesma compra valor levemente diferente)</t>
        </is>
      </c>
    </row>
    <row r="3">
      <c r="A3" s="16" t="inlineStr">
        <is>
          <t>Fatura Data</t>
        </is>
      </c>
      <c r="B3" s="16" t="inlineStr">
        <is>
          <t>Fatura Lanc.</t>
        </is>
      </c>
      <c r="C3" s="16" t="inlineStr">
        <is>
          <t>Fatura Valor</t>
        </is>
      </c>
      <c r="D3" s="16" t="inlineStr">
        <is>
          <t>Everest Fornecedor</t>
        </is>
      </c>
      <c r="E3" s="16" t="inlineStr">
        <is>
          <t>Ev. Lanc.</t>
        </is>
      </c>
      <c r="F3" s="16" t="inlineStr">
        <is>
          <t>Ev. Valor</t>
        </is>
      </c>
      <c r="G3" s="16" t="inlineStr">
        <is>
          <t>Dif R$</t>
        </is>
      </c>
    </row>
    <row r="4">
      <c r="A4" s="28" t="n">
        <v>46175</v>
      </c>
      <c r="B4" s="27" t="inlineStr">
        <is>
          <t>Mag*magalu-magazin</t>
        </is>
      </c>
      <c r="C4" s="29" t="n">
        <v>629.9</v>
      </c>
      <c r="D4" s="27" t="inlineStr">
        <is>
          <t>DISTRIBUIDORA E IMPORTADORA IRMAOS AVELINO S.A.</t>
        </is>
      </c>
      <c r="E4" s="28" t="n">
        <v>46176</v>
      </c>
      <c r="F4" s="29" t="n">
        <v>620.29</v>
      </c>
      <c r="G4" s="29" t="n">
        <v>9.609999999999999</v>
      </c>
    </row>
    <row r="5">
      <c r="A5" s="28" t="n">
        <v>46183</v>
      </c>
      <c r="B5" s="27" t="inlineStr">
        <is>
          <t>Sams Club Morumbi</t>
        </is>
      </c>
      <c r="C5" s="29" t="n">
        <v>399.92</v>
      </c>
      <c r="D5" s="27" t="inlineStr">
        <is>
          <t>WMB SUPERMERCADOS DO BRASIL LTDA.</t>
        </is>
      </c>
      <c r="E5" s="28" t="n">
        <v>46183</v>
      </c>
      <c r="F5" s="29" t="n">
        <v>399.02</v>
      </c>
      <c r="G5" s="29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Impostos removidos do calculo por solicitacao</t>
        </is>
      </c>
    </row>
    <row r="3">
      <c r="A3" s="16" t="inlineStr">
        <is>
          <t>Fornecedor</t>
        </is>
      </c>
      <c r="B3" s="16" t="inlineStr">
        <is>
          <t>Portador</t>
        </is>
      </c>
      <c r="C3" s="16" t="inlineStr">
        <is>
          <t>D. Vencimento</t>
        </is>
      </c>
      <c r="D3" s="16" t="inlineStr">
        <is>
          <t>D. Competencia</t>
        </is>
      </c>
      <c r="E3" s="16" t="inlineStr">
        <is>
          <t>Valor R$</t>
        </is>
      </c>
    </row>
    <row r="4">
      <c r="A4" s="31" t="inlineStr">
        <is>
          <t>FGTS</t>
        </is>
      </c>
      <c r="B4" s="31" t="inlineStr">
        <is>
          <t>ITAU</t>
        </is>
      </c>
      <c r="C4" s="30" t="n">
        <v>46219</v>
      </c>
      <c r="D4" s="30" t="n">
        <v>46203</v>
      </c>
      <c r="E4" s="32" t="n">
        <v>32625.77</v>
      </c>
    </row>
    <row r="5">
      <c r="A5" s="31" t="inlineStr">
        <is>
          <t>INSS/IRRF</t>
        </is>
      </c>
      <c r="B5" s="31" t="inlineStr">
        <is>
          <t>ITAU</t>
        </is>
      </c>
      <c r="C5" s="30" t="n">
        <v>46219</v>
      </c>
      <c r="D5" s="30" t="n">
        <v>46203</v>
      </c>
      <c r="E5" s="32" t="n">
        <v>31632.95</v>
      </c>
    </row>
    <row r="6">
      <c r="A6" s="31" t="inlineStr">
        <is>
          <t>SIMPLES NACIONAL</t>
        </is>
      </c>
      <c r="B6" s="31" t="inlineStr">
        <is>
          <t>ITAU</t>
        </is>
      </c>
      <c r="C6" s="30" t="n">
        <v>46223</v>
      </c>
      <c r="D6" s="30" t="n">
        <v>46203</v>
      </c>
      <c r="E6" s="32" t="n">
        <v>19493.61</v>
      </c>
    </row>
    <row r="7">
      <c r="A7" s="31" t="inlineStr">
        <is>
          <t>SIMPLES NACIONAL PARCELAMENTO</t>
        </is>
      </c>
      <c r="B7" s="31" t="inlineStr">
        <is>
          <t>ITAU</t>
        </is>
      </c>
      <c r="C7" s="30" t="n">
        <v>46223</v>
      </c>
      <c r="D7" s="30" t="n">
        <v>46203</v>
      </c>
      <c r="E7" s="32" t="n">
        <v>6484.08</v>
      </c>
    </row>
    <row r="8">
      <c r="A8" s="31" t="inlineStr">
        <is>
          <t>SIMPLES NACIONAL PARCELAMENTO</t>
        </is>
      </c>
      <c r="B8" s="31" t="inlineStr">
        <is>
          <t>ITAU</t>
        </is>
      </c>
      <c r="C8" s="30" t="n">
        <v>46202</v>
      </c>
      <c r="D8" s="30" t="n">
        <v>46202</v>
      </c>
      <c r="E8" s="32" t="n">
        <v>6436.07</v>
      </c>
    </row>
    <row r="9">
      <c r="A9" s="31" t="inlineStr">
        <is>
          <t>GARE ICMS</t>
        </is>
      </c>
      <c r="B9" s="31" t="inlineStr">
        <is>
          <t>ITAU</t>
        </is>
      </c>
      <c r="C9" s="30" t="n">
        <v>46224</v>
      </c>
      <c r="D9" s="30" t="n">
        <v>46203</v>
      </c>
      <c r="E9" s="32" t="n">
        <v>834.86</v>
      </c>
    </row>
    <row r="10">
      <c r="A10" s="31" t="inlineStr">
        <is>
          <t>IRRF - DANIEL FRANCISCO DA SILVA</t>
        </is>
      </c>
      <c r="B10" s="31" t="inlineStr">
        <is>
          <t>ITAU</t>
        </is>
      </c>
      <c r="C10" s="30" t="n">
        <v>46202</v>
      </c>
      <c r="D10" s="30" t="n">
        <v>46202</v>
      </c>
      <c r="E10" s="32" t="n">
        <v>765.91</v>
      </c>
    </row>
    <row r="11">
      <c r="A11" s="31" t="inlineStr">
        <is>
          <t>SIMPLES NACIONAL PARCELAMENTO</t>
        </is>
      </c>
      <c r="B11" s="31" t="inlineStr">
        <is>
          <t>ITAU</t>
        </is>
      </c>
      <c r="C11" s="30" t="n">
        <v>46224</v>
      </c>
      <c r="D11" s="30" t="n">
        <v>46203</v>
      </c>
      <c r="E11" s="32" t="n">
        <v>586.35</v>
      </c>
    </row>
    <row r="12">
      <c r="A12" s="31" t="inlineStr">
        <is>
          <t>SIMPLES NACIONAL PARCELAMENTO</t>
        </is>
      </c>
      <c r="B12" s="31" t="inlineStr">
        <is>
          <t>ITAU</t>
        </is>
      </c>
      <c r="C12" s="30" t="n">
        <v>46202</v>
      </c>
      <c r="D12" s="30" t="n">
        <v>46202</v>
      </c>
      <c r="E12" s="32" t="n">
        <v>582.01</v>
      </c>
    </row>
    <row r="13">
      <c r="A13" s="31" t="inlineStr">
        <is>
          <t>ISS</t>
        </is>
      </c>
      <c r="B13" s="31" t="inlineStr">
        <is>
          <t>ITAU</t>
        </is>
      </c>
      <c r="C13" s="30" t="n">
        <v>46209</v>
      </c>
      <c r="D13" s="30" t="n">
        <v>46203</v>
      </c>
      <c r="E13" s="32" t="n">
        <v>129.09</v>
      </c>
    </row>
    <row r="14">
      <c r="A14" s="31" t="inlineStr">
        <is>
          <t>INSS/IRRF</t>
        </is>
      </c>
      <c r="B14" s="31" t="inlineStr">
        <is>
          <t>ITAU</t>
        </is>
      </c>
      <c r="C14" s="30" t="n">
        <v>46223</v>
      </c>
      <c r="D14" s="30" t="n">
        <v>46203</v>
      </c>
      <c r="E14" s="32" t="n">
        <v>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2026-07-29T23:35:00Z</dcterms:created>
  <dcterms:modified xsi:type="dcterms:W3CDTF">2026-07-29T23:35:00Z</dcterms:modified>
</cp:coreProperties>
</file>